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D:\OneDrive\ExcelVBA\●自作アドイン\ExcelRegExpViewer\bin\"/>
    </mc:Choice>
  </mc:AlternateContent>
  <xr:revisionPtr revIDLastSave="0" documentId="13_ncr:1_{77976200-8B70-4F5D-B0B7-CD5749312DD7}" xr6:coauthVersionLast="45" xr6:coauthVersionMax="45" xr10:uidLastSave="{00000000-0000-0000-0000-000000000000}"/>
  <bookViews>
    <workbookView xWindow="2070" yWindow="3735" windowWidth="25815" windowHeight="14175" xr2:uid="{00000000-000D-0000-FFFF-FFFF00000000}"/>
  </bookViews>
  <sheets>
    <sheet name="正規表現テスト" sheetId="2" r:id="rId1"/>
    <sheet name="正規表現SubMatchテスト" sheetId="9" r:id="rId2"/>
    <sheet name="例" sheetId="8" r:id="rId3"/>
    <sheet name="1" sheetId="4" r:id="rId4"/>
    <sheet name="2" sheetId="5" r:id="rId5"/>
  </sheets>
  <functionGroups builtInGroupCount="19"/>
  <externalReferences>
    <externalReference r:id="rId6"/>
  </externalReferences>
  <definedNames>
    <definedName name="設定_社員CD">[1]設定!$B$5</definedName>
    <definedName name="設定_社員名">[1]設定!$B$6</definedName>
    <definedName name="設定_部CD">[1]設定!$B$2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40" i="2" l="1"/>
  <c r="D41" i="2"/>
  <c r="D42" i="2"/>
  <c r="D43" i="2"/>
  <c r="D44" i="2"/>
  <c r="G37" i="8"/>
  <c r="G35" i="8"/>
  <c r="G33" i="8"/>
  <c r="G31" i="8"/>
  <c r="G29" i="8"/>
  <c r="G27" i="8"/>
  <c r="G25" i="8"/>
  <c r="G23" i="8"/>
  <c r="G21" i="8"/>
  <c r="G19" i="8"/>
  <c r="G17" i="8"/>
  <c r="G15" i="8"/>
  <c r="G13" i="8"/>
  <c r="G11" i="8"/>
  <c r="G7" i="8"/>
  <c r="G9" i="8"/>
  <c r="H6" i="8"/>
  <c r="B18" i="9" a="1"/>
  <c r="F18" i="9" a="1"/>
  <c r="E19" i="9" a="1"/>
  <c r="D20" i="9" a="1"/>
  <c r="C21" i="9" a="1"/>
  <c r="B22" i="9" a="1"/>
  <c r="F22" i="9" a="1"/>
  <c r="E23" i="9" a="1"/>
  <c r="B19" i="9" a="1"/>
  <c r="F19" i="9" a="1"/>
  <c r="E20" i="9" a="1"/>
  <c r="D21" i="9" a="1"/>
  <c r="B23" i="9" a="1"/>
  <c r="C19" i="9" a="1"/>
  <c r="E18" i="9" a="1"/>
  <c r="B21" i="9" a="1"/>
  <c r="E22" i="9" a="1"/>
  <c r="F23" i="9" a="1"/>
  <c r="D18" i="9" a="1"/>
  <c r="B20" i="9" a="1"/>
  <c r="F20" i="9" a="1"/>
  <c r="E21" i="9" a="1"/>
  <c r="D22" i="9" a="1"/>
  <c r="C23" i="9" a="1"/>
  <c r="D19" i="9" a="1"/>
  <c r="C20" i="9" a="1"/>
  <c r="F21" i="9" a="1"/>
  <c r="D23" i="9" a="1"/>
  <c r="C18" i="9" a="1"/>
  <c r="C22" i="9" a="1"/>
  <c r="B6" i="9" a="1"/>
  <c r="F6" i="9" a="1"/>
  <c r="E7" i="9" a="1"/>
  <c r="D8" i="9" a="1"/>
  <c r="C9" i="9" a="1"/>
  <c r="B10" i="9" a="1"/>
  <c r="F10" i="9" a="1"/>
  <c r="E11" i="9" a="1"/>
  <c r="B7" i="9" a="1"/>
  <c r="F7" i="9" a="1"/>
  <c r="E8" i="9" a="1"/>
  <c r="C10" i="9" a="1"/>
  <c r="F11" i="9" a="1"/>
  <c r="C7" i="9" a="1"/>
  <c r="D10" i="9" a="1"/>
  <c r="E6" i="9" a="1"/>
  <c r="C8" i="9" a="1"/>
  <c r="F9" i="9" a="1"/>
  <c r="D11" i="9" a="1"/>
  <c r="D6" i="9" a="1"/>
  <c r="B8" i="9" a="1"/>
  <c r="F8" i="9" a="1"/>
  <c r="E9" i="9" a="1"/>
  <c r="C11" i="9" a="1"/>
  <c r="D7" i="9" a="1"/>
  <c r="B9" i="9" a="1"/>
  <c r="E10" i="9" a="1"/>
  <c r="B11" i="9" a="1"/>
  <c r="C6" i="9" a="1"/>
  <c r="D9" i="9" a="1"/>
  <c r="F42" i="2"/>
  <c r="E44" i="2"/>
  <c r="K40" i="2"/>
  <c r="H44" i="2"/>
  <c r="J42" i="2"/>
  <c r="E40" i="2"/>
  <c r="I41" i="2"/>
  <c r="H43" i="2"/>
  <c r="L41" i="2"/>
  <c r="L43" i="2"/>
  <c r="J44" i="2"/>
  <c r="F43" i="2"/>
  <c r="G44" i="2"/>
  <c r="J41" i="2"/>
  <c r="G43" i="2"/>
  <c r="I44" i="2"/>
  <c r="K42" i="2"/>
  <c r="I42" i="2"/>
  <c r="H41" i="2"/>
  <c r="E41" i="2"/>
  <c r="G41" i="2"/>
  <c r="F41" i="2"/>
  <c r="I43" i="2"/>
  <c r="H42" i="2"/>
  <c r="H40" i="2"/>
  <c r="G40" i="2"/>
  <c r="J40" i="2"/>
  <c r="L40" i="2"/>
  <c r="I40" i="2"/>
  <c r="E42" i="2"/>
  <c r="F44" i="2"/>
  <c r="K44" i="2"/>
  <c r="L44" i="2"/>
  <c r="E43" i="2"/>
  <c r="K43" i="2"/>
  <c r="G42" i="2"/>
  <c r="F40" i="2"/>
  <c r="J43" i="2"/>
  <c r="K41" i="2"/>
  <c r="L42" i="2"/>
  <c r="C22" i="9" l="1"/>
  <c r="C18" i="9"/>
  <c r="D23" i="9"/>
  <c r="F21" i="9"/>
  <c r="C20" i="9"/>
  <c r="D19" i="9"/>
  <c r="C23" i="9"/>
  <c r="D22" i="9"/>
  <c r="E21" i="9"/>
  <c r="F20" i="9"/>
  <c r="B20" i="9"/>
  <c r="D18" i="9"/>
  <c r="F23" i="9"/>
  <c r="E22" i="9"/>
  <c r="B21" i="9"/>
  <c r="E18" i="9"/>
  <c r="C19" i="9"/>
  <c r="B23" i="9"/>
  <c r="D21" i="9"/>
  <c r="E20" i="9"/>
  <c r="F19" i="9"/>
  <c r="B19" i="9"/>
  <c r="E23" i="9"/>
  <c r="F22" i="9"/>
  <c r="B22" i="9"/>
  <c r="C21" i="9"/>
  <c r="D20" i="9"/>
  <c r="E19" i="9"/>
  <c r="F18" i="9"/>
  <c r="B18" i="9"/>
  <c r="D9" i="9"/>
  <c r="C6" i="9"/>
  <c r="B11" i="9"/>
  <c r="E10" i="9"/>
  <c r="B9" i="9"/>
  <c r="D7" i="9"/>
  <c r="C11" i="9"/>
  <c r="E9" i="9"/>
  <c r="F8" i="9"/>
  <c r="B8" i="9"/>
  <c r="D6" i="9"/>
  <c r="D11" i="9"/>
  <c r="F9" i="9"/>
  <c r="C8" i="9"/>
  <c r="E6" i="9"/>
  <c r="D10" i="9"/>
  <c r="C7" i="9"/>
  <c r="F11" i="9"/>
  <c r="C10" i="9"/>
  <c r="E8" i="9"/>
  <c r="F7" i="9"/>
  <c r="B7" i="9"/>
  <c r="E11" i="9"/>
  <c r="F10" i="9"/>
  <c r="B10" i="9"/>
  <c r="C9" i="9"/>
  <c r="D8" i="9"/>
  <c r="E7" i="9"/>
  <c r="F6" i="9"/>
  <c r="B6" i="9"/>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L14" i="2"/>
  <c r="K21" i="2"/>
  <c r="F11" i="2"/>
  <c r="F38" i="2"/>
  <c r="I11" i="2"/>
  <c r="J11" i="2"/>
  <c r="L32" i="2"/>
  <c r="E24" i="2"/>
  <c r="K38" i="2"/>
  <c r="I10" i="2"/>
  <c r="H12" i="2"/>
  <c r="I16" i="2"/>
  <c r="F32" i="2"/>
  <c r="J33" i="2"/>
  <c r="L26" i="2"/>
  <c r="J35" i="2"/>
  <c r="H36" i="2"/>
  <c r="E16" i="2"/>
  <c r="H27" i="2"/>
  <c r="K13" i="2"/>
  <c r="G37" i="2"/>
  <c r="G33" i="2"/>
  <c r="K8" i="2"/>
  <c r="E12" i="2"/>
  <c r="F13" i="2"/>
  <c r="H18" i="2"/>
  <c r="K28" i="2"/>
  <c r="I30" i="2"/>
  <c r="F34" i="2"/>
  <c r="L17" i="2"/>
  <c r="J6" i="2"/>
  <c r="K35" i="2"/>
  <c r="G26" i="2"/>
  <c r="I18" i="2"/>
  <c r="F8" i="2"/>
  <c r="I20" i="2"/>
  <c r="G23" i="2"/>
  <c r="L23" i="2"/>
  <c r="G5" i="2"/>
  <c r="E21" i="2"/>
  <c r="K37" i="2"/>
  <c r="I31" i="2"/>
  <c r="G39" i="2"/>
  <c r="H21" i="2"/>
  <c r="F16" i="2"/>
  <c r="L37" i="2"/>
  <c r="K18" i="2"/>
  <c r="G9" i="2"/>
  <c r="J30" i="2"/>
  <c r="F21" i="2"/>
  <c r="K9" i="2"/>
  <c r="K5" i="2"/>
  <c r="I14" i="2"/>
  <c r="G30" i="2"/>
  <c r="F7" i="2"/>
  <c r="J39" i="2"/>
  <c r="K31" i="2"/>
  <c r="J17" i="2"/>
  <c r="H35" i="2"/>
  <c r="E19" i="2"/>
  <c r="E7" i="2"/>
  <c r="J29" i="2"/>
  <c r="H22" i="2"/>
  <c r="J7" i="2"/>
  <c r="H34" i="2"/>
  <c r="F31" i="2"/>
  <c r="L13" i="2"/>
  <c r="L24" i="2"/>
  <c r="J9" i="2"/>
  <c r="G13" i="2"/>
  <c r="E34" i="2"/>
  <c r="L12" i="2"/>
  <c r="K26" i="2"/>
  <c r="H7" i="2"/>
  <c r="E20" i="2"/>
  <c r="F23" i="2"/>
  <c r="G18" i="2"/>
  <c r="J12" i="2"/>
  <c r="J19" i="2"/>
  <c r="J32" i="2"/>
  <c r="F15" i="2"/>
  <c r="E22" i="2"/>
  <c r="G29" i="2"/>
  <c r="L36" i="2"/>
  <c r="J38" i="2"/>
  <c r="E26" i="2"/>
  <c r="K20" i="2"/>
  <c r="I39" i="2"/>
  <c r="I35" i="2"/>
  <c r="K25" i="2"/>
  <c r="F12" i="2"/>
  <c r="L9" i="2"/>
  <c r="G15" i="2"/>
  <c r="J18" i="2"/>
  <c r="K23" i="2"/>
  <c r="F10" i="2"/>
  <c r="F27" i="2"/>
  <c r="K10" i="2"/>
  <c r="I7" i="2"/>
  <c r="L30" i="2"/>
  <c r="G21" i="2"/>
  <c r="E28" i="2"/>
  <c r="I26" i="2"/>
  <c r="H5" i="2"/>
  <c r="I36" i="2"/>
  <c r="E23" i="2"/>
  <c r="I15" i="2"/>
  <c r="J16" i="2"/>
  <c r="G35" i="2"/>
  <c r="E36" i="2"/>
  <c r="I37" i="2"/>
  <c r="J10" i="2"/>
  <c r="I13" i="2"/>
  <c r="G25" i="2"/>
  <c r="G11" i="2"/>
  <c r="E6" i="2"/>
  <c r="H10" i="2"/>
  <c r="H17" i="2"/>
  <c r="F30" i="2"/>
  <c r="F29" i="2"/>
  <c r="L19" i="2"/>
  <c r="L16" i="2"/>
  <c r="H38" i="2"/>
  <c r="I28" i="2"/>
  <c r="I22" i="2"/>
  <c r="H24" i="2"/>
  <c r="K32" i="2"/>
  <c r="E27" i="2"/>
  <c r="I8" i="2"/>
  <c r="L35" i="2"/>
  <c r="H14" i="2"/>
  <c r="J13" i="2"/>
  <c r="E29" i="2"/>
  <c r="L7" i="2"/>
  <c r="I27" i="2"/>
  <c r="L15" i="2"/>
  <c r="E39" i="2"/>
  <c r="G38" i="2"/>
  <c r="J22" i="2"/>
  <c r="I33" i="2"/>
  <c r="J34" i="2"/>
  <c r="E9" i="2"/>
  <c r="K14" i="2"/>
  <c r="L39" i="2"/>
  <c r="I24" i="2"/>
  <c r="I19" i="2"/>
  <c r="I34" i="2"/>
  <c r="E18" i="2"/>
  <c r="H8" i="2"/>
  <c r="H6" i="2"/>
  <c r="K36" i="2"/>
  <c r="H30" i="2"/>
  <c r="F19" i="2"/>
  <c r="G34" i="2"/>
  <c r="J25" i="2"/>
  <c r="J36" i="2"/>
  <c r="L29" i="2"/>
  <c r="E25" i="2"/>
  <c r="L18" i="2"/>
  <c r="L5" i="2"/>
  <c r="I5" i="2"/>
  <c r="F37" i="2"/>
  <c r="I12" i="2"/>
  <c r="I29" i="2"/>
  <c r="K30" i="2"/>
  <c r="H25" i="2"/>
  <c r="E31" i="2"/>
  <c r="H37" i="2"/>
  <c r="G24" i="2"/>
  <c r="L25" i="2"/>
  <c r="F28" i="2"/>
  <c r="H39" i="2"/>
  <c r="J28" i="2"/>
  <c r="L33" i="2"/>
  <c r="J8" i="2"/>
  <c r="J23" i="2"/>
  <c r="F39" i="2"/>
  <c r="H20" i="2"/>
  <c r="H9" i="2"/>
  <c r="L20" i="2"/>
  <c r="F6" i="2"/>
  <c r="G27" i="2"/>
  <c r="J37" i="2"/>
  <c r="G22" i="2"/>
  <c r="G17" i="2"/>
  <c r="J20" i="2"/>
  <c r="E8" i="2"/>
  <c r="I21" i="2"/>
  <c r="J26" i="2"/>
  <c r="K16" i="2"/>
  <c r="H13" i="2"/>
  <c r="E33" i="2"/>
  <c r="E11" i="2"/>
  <c r="K15" i="2"/>
  <c r="H11" i="2"/>
  <c r="I23" i="2"/>
  <c r="F17" i="2"/>
  <c r="I17" i="2"/>
  <c r="K39" i="2"/>
  <c r="K29" i="2"/>
  <c r="G14" i="2"/>
  <c r="I6" i="2"/>
  <c r="E14" i="2"/>
  <c r="E10" i="2"/>
  <c r="I32" i="2"/>
  <c r="G16" i="2"/>
  <c r="G36" i="2"/>
  <c r="E30" i="2"/>
  <c r="G19" i="2"/>
  <c r="L21" i="2"/>
  <c r="L34" i="2"/>
  <c r="F26" i="2"/>
  <c r="I38" i="2"/>
  <c r="J31" i="2"/>
  <c r="G31" i="2"/>
  <c r="J21" i="2"/>
  <c r="E13" i="2"/>
  <c r="K17" i="2"/>
  <c r="L6" i="2"/>
  <c r="L38" i="2"/>
  <c r="G32" i="2"/>
  <c r="E5" i="2"/>
  <c r="K24" i="2"/>
  <c r="K7" i="2"/>
  <c r="K34" i="2"/>
  <c r="F25" i="2"/>
  <c r="E32" i="2"/>
  <c r="L31" i="2"/>
  <c r="J24" i="2"/>
  <c r="H33" i="2"/>
  <c r="L27" i="2"/>
  <c r="E15" i="2"/>
  <c r="L11" i="2"/>
  <c r="G20" i="2"/>
  <c r="K19" i="2"/>
  <c r="L10" i="2"/>
  <c r="E38" i="2"/>
  <c r="F20" i="2"/>
  <c r="K22" i="2"/>
  <c r="H31" i="2"/>
  <c r="H26" i="2"/>
  <c r="H16" i="2"/>
  <c r="F35" i="2"/>
  <c r="G28" i="2"/>
  <c r="F5" i="2"/>
  <c r="K33" i="2"/>
  <c r="K6" i="2"/>
  <c r="H32" i="2"/>
  <c r="E35" i="2"/>
  <c r="K12" i="2"/>
  <c r="J14" i="2"/>
  <c r="I9" i="2"/>
  <c r="E17" i="2"/>
  <c r="L8" i="2"/>
  <c r="H29" i="2"/>
  <c r="L28" i="2"/>
  <c r="H19" i="2"/>
  <c r="J15" i="2"/>
  <c r="F24" i="2"/>
  <c r="G8" i="2"/>
  <c r="H23" i="2"/>
  <c r="H28" i="2"/>
  <c r="F18" i="2"/>
  <c r="F9" i="2"/>
  <c r="H15" i="2"/>
  <c r="J5" i="2"/>
  <c r="G12" i="2"/>
  <c r="J27" i="2"/>
  <c r="E37" i="2"/>
  <c r="I25" i="2"/>
  <c r="K27" i="2"/>
  <c r="K11" i="2"/>
  <c r="F14" i="2"/>
  <c r="F36" i="2"/>
  <c r="G6" i="2"/>
  <c r="G10" i="2"/>
  <c r="G7" i="2"/>
  <c r="L22" i="2"/>
  <c r="F33" i="2"/>
  <c r="F22"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<sst xmlns="http://schemas.openxmlformats.org/spreadsheetml/2006/main" count="958" uniqueCount="595">
  <si>
    <t>a</t>
  </si>
  <si>
    <t>.</t>
  </si>
  <si>
    <t>Source</t>
    <phoneticPr fontId="1"/>
  </si>
  <si>
    <t>Pattern</t>
    <phoneticPr fontId="1"/>
  </si>
  <si>
    <t>&lt;(.*)&gt;.*&lt;\/\1&gt;</t>
  </si>
  <si>
    <t>[あ-ん]{5}</t>
  </si>
  <si>
    <t>[ア-ン]{3,}</t>
  </si>
  <si>
    <t>[ｦ-ﾟ]{1,5}</t>
  </si>
  <si>
    <t>[a-zA-Z0-9]{5,10}</t>
  </si>
  <si>
    <t>郵便番号</t>
  </si>
  <si>
    <t>^(\d{3})-(\d{4})$</t>
  </si>
  <si>
    <t>^0(\d{1}-\d{4}|\d{2}-\d{3}|\d{3}-\d{2}|\d{4}-\d{1})-\d{4}$</t>
  </si>
  <si>
    <t>hoge@co.jp</t>
    <phoneticPr fontId="1"/>
  </si>
  <si>
    <t>^([\w]+)([\w\.-]+)@([\w_\-]+)\.([\w_\.\-]*)[a-z][a-z]$</t>
    <phoneticPr fontId="1"/>
  </si>
  <si>
    <t>あいうカキクさしすせそタチツ</t>
    <phoneticPr fontId="1"/>
  </si>
  <si>
    <t>053-0854</t>
    <phoneticPr fontId="1"/>
  </si>
  <si>
    <t>^(.*?)_</t>
    <phoneticPr fontId="1"/>
  </si>
  <si>
    <t>aabbcc axxyyzzc ghi jkl abbaac ghi</t>
    <phoneticPr fontId="1"/>
  </si>
  <si>
    <t>a.+?c</t>
    <phoneticPr fontId="1"/>
  </si>
  <si>
    <t>Matches1</t>
    <phoneticPr fontId="1"/>
  </si>
  <si>
    <t>Matches2</t>
  </si>
  <si>
    <t>Matches3</t>
  </si>
  <si>
    <t>Matches4</t>
  </si>
  <si>
    <t>Matches5</t>
  </si>
  <si>
    <t>Matches6</t>
  </si>
  <si>
    <t>IsMatch</t>
    <phoneticPr fontId="1"/>
  </si>
  <si>
    <t>\d{3}-\d{4}</t>
  </si>
  <si>
    <t>101-0011</t>
  </si>
  <si>
    <t>[\w.\-]+@[\w\-]+\.[\w.\-]+</t>
  </si>
  <si>
    <t>abc@def.com</t>
  </si>
  <si>
    <t>Abc123DEFGH4567ijkl890</t>
    <phoneticPr fontId="1"/>
  </si>
  <si>
    <t>(\D+)(\d+)</t>
    <phoneticPr fontId="1"/>
  </si>
  <si>
    <t>\D</t>
    <phoneticPr fontId="1"/>
  </si>
  <si>
    <t>0585-12-5678</t>
    <phoneticPr fontId="1"/>
  </si>
  <si>
    <t>090-1234-5678</t>
    <phoneticPr fontId="1"/>
  </si>
  <si>
    <t>Replace(ptn,"")</t>
    <phoneticPr fontId="1"/>
  </si>
  <si>
    <t>^ 先頭、 $末尾</t>
    <rPh sb="2" eb="4">
      <t>セントウ</t>
    </rPh>
    <rPh sb="7" eb="9">
      <t>マツビ</t>
    </rPh>
    <phoneticPr fontId="1"/>
  </si>
  <si>
    <t>| OR、^ NOT、 +一つ以上、?0か1、*0以上 .改行以外の一字</t>
    <rPh sb="29" eb="31">
      <t>カイギョウ</t>
    </rPh>
    <rPh sb="31" eb="33">
      <t>イガイ</t>
    </rPh>
    <rPh sb="34" eb="35">
      <t>イチ</t>
    </rPh>
    <phoneticPr fontId="1"/>
  </si>
  <si>
    <t>虎渓で始まるアイテムを検索</t>
    <rPh sb="3" eb="4">
      <t>ハジ</t>
    </rPh>
    <rPh sb="11" eb="13">
      <t>ケンサク</t>
    </rPh>
    <phoneticPr fontId="4"/>
  </si>
  <si>
    <t>Grep("^虎渓.*",NAME$)</t>
    <phoneticPr fontId="4"/>
  </si>
  <si>
    <t>(abc){2}：abcabc</t>
  </si>
  <si>
    <t>()内をひとまとまりとする</t>
  </si>
  <si>
    <t>()</t>
  </si>
  <si>
    <t>txt|doc：txtまたはdoc</t>
  </si>
  <si>
    <t>または</t>
  </si>
  <si>
    <t>|</t>
  </si>
  <si>
    <t>[0-9]{3,5}＝3桁から5桁の数値</t>
  </si>
  <si>
    <t>直前文字のn回からm回の繰り返し</t>
  </si>
  <si>
    <t>{n,m}</t>
  </si>
  <si>
    <t>[0-9]{,5}：5桁以下の数値</t>
  </si>
  <si>
    <t>直前文字のm回以下の繰り返し</t>
  </si>
  <si>
    <t>{,m}</t>
  </si>
  <si>
    <t>[0-9]{3,}：3桁以上の数値</t>
  </si>
  <si>
    <t>直前文字のn回以上の繰り返し</t>
  </si>
  <si>
    <t>{n,}</t>
  </si>
  <si>
    <t>[0-9]{3}：3桁の数値</t>
  </si>
  <si>
    <t>直前文字のn回の繰り返し</t>
  </si>
  <si>
    <t>{n}</t>
  </si>
  <si>
    <t>―</t>
  </si>
  <si>
    <t>直前文字の1回以上の繰り返し</t>
  </si>
  <si>
    <t>+</t>
  </si>
  <si>
    <t>直前文字の0回以上の繰り返し</t>
  </si>
  <si>
    <t>*</t>
  </si>
  <si>
    <t>使用例</t>
  </si>
  <si>
    <t>意味</t>
  </si>
  <si>
    <t>記号</t>
  </si>
  <si>
    <t>●拡張正規表現</t>
  </si>
  <si>
    <t>[a-c]：abcのどれか</t>
  </si>
  <si>
    <t>指定範囲のどれかの文字</t>
  </si>
  <si>
    <t>[n-n]</t>
  </si>
  <si>
    <t>[^abc]：abc以外</t>
  </si>
  <si>
    <t>囲まれている文字でない文字</t>
  </si>
  <si>
    <t>[^...]</t>
  </si>
  <si>
    <t>[abc]：abcのどれか</t>
  </si>
  <si>
    <t>囲まれている文字のどれか</t>
  </si>
  <si>
    <t>[...]</t>
  </si>
  <si>
    <t>アルファベットと数字以外</t>
  </si>
  <si>
    <t>\W</t>
  </si>
  <si>
    <t>アルファベットと数字</t>
  </si>
  <si>
    <t>\w</t>
  </si>
  <si>
    <t>改行以外の任意の文字</t>
  </si>
  <si>
    <t>abc\&gt;：abcで終わる単語</t>
  </si>
  <si>
    <t>語尾</t>
  </si>
  <si>
    <t>\&gt;</t>
  </si>
  <si>
    <t>\＜abc：abcで始まる単語</t>
  </si>
  <si>
    <t>語頭</t>
  </si>
  <si>
    <t>\&lt;</t>
  </si>
  <si>
    <t>abc$：abcで終わる行</t>
  </si>
  <si>
    <t>行末</t>
  </si>
  <si>
    <t>$</t>
  </si>
  <si>
    <t>^abc：abcから始まる行</t>
  </si>
  <si>
    <t>行頭</t>
  </si>
  <si>
    <t>^</t>
  </si>
  <si>
    <t>●基本正規表現</t>
  </si>
  <si>
    <t>patternをグループ化する。マッチした内容は参照できる</t>
  </si>
  <si>
    <t>\(pattern\)</t>
  </si>
  <si>
    <t>pattern1またはpattern2のいずれかに一致</t>
  </si>
  <si>
    <t>pattern1\|pattern2</t>
  </si>
  <si>
    <t>直前の文字のn個以上，m個以下の繰り返しに一致</t>
  </si>
  <si>
    <t>\{n,m\}</t>
  </si>
  <si>
    <t>直前の文字のm個以下の繰り返しに一致</t>
  </si>
  <si>
    <t>\{,m\}</t>
  </si>
  <si>
    <t>直前の文字のn個以上の繰り返しに一致</t>
  </si>
  <si>
    <t>\{n,\}</t>
  </si>
  <si>
    <t>直前の文字のn個の繰り返しに一致</t>
  </si>
  <si>
    <t>\{n\}</t>
  </si>
  <si>
    <t>直前の文字の0または1文字に一致</t>
  </si>
  <si>
    <t>\?</t>
  </si>
  <si>
    <t>直前の文字の1個以上の繰り返しに一致</t>
  </si>
  <si>
    <t>\+</t>
  </si>
  <si>
    <t>かっこ内の任意の1文字に不一致。ハイフン（-）で範囲指定もできる</t>
  </si>
  <si>
    <t>[^ ]</t>
  </si>
  <si>
    <t>かっこ内の任意の1文字に一致。ハイフン（-）で範囲指定もできる</t>
  </si>
  <si>
    <t>[ ]</t>
  </si>
  <si>
    <t>行の末尾</t>
  </si>
  <si>
    <t>行の先頭</t>
  </si>
  <si>
    <t>直前の1文字の0回以上の繰り返しに一致。直前の文字は正規表現でも構わない</t>
  </si>
  <si>
    <t>改行文字以外の任意の1文字</t>
  </si>
  <si>
    <t>GrepやRegexで扱うパラメータ</t>
    <rPh sb="11" eb="12">
      <t>アツカ</t>
    </rPh>
    <phoneticPr fontId="4"/>
  </si>
  <si>
    <t>正規表現</t>
    <rPh sb="0" eb="4">
      <t>セイキヒョウゲン</t>
    </rPh>
    <phoneticPr fontId="4"/>
  </si>
  <si>
    <t>正規表現 r が 1 つ，または無い（r の 0 回または 1 回の繰り返し）</t>
  </si>
  <si>
    <t>r?</t>
  </si>
  <si>
    <t>正規表現 r の 1 回以上の繰り返し（ r* のときは 0 回以上だった）</t>
  </si>
  <si>
    <t>r+</t>
  </si>
  <si>
    <t>拡張機能を有する grep では次の正規表現が使える場合がある．</t>
  </si>
  <si>
    <t>aかaの後に数字が続く</t>
  </si>
  <si>
    <t>a[0-9]*</t>
  </si>
  <si>
    <t>ac, aに任意の文字列が続いてc続く</t>
  </si>
  <si>
    <t>a.*c</t>
  </si>
  <si>
    <t>c, ac, aac,aaac,...</t>
  </si>
  <si>
    <t>a*c</t>
  </si>
  <si>
    <t>マッチしない</t>
  </si>
  <si>
    <t>マッチする</t>
  </si>
  <si>
    <t>正規表現</t>
  </si>
  <si>
    <t>正規表現の 0 回以上の繰り返し．</t>
  </si>
  <si>
    <t>r*</t>
  </si>
  <si>
    <t>abcdeabc</t>
  </si>
  <si>
    <t>abcdede</t>
  </si>
  <si>
    <t>\(abc\(de\)\)\2</t>
  </si>
  <si>
    <t>acbc, bcac</t>
  </si>
  <si>
    <t>acac, bcbc</t>
  </si>
  <si>
    <t>\([ab]c\)\1</t>
  </si>
  <si>
    <t>abcacb</t>
  </si>
  <si>
    <t>abcabc</t>
  </si>
  <si>
    <t>\(abc\)\1</t>
  </si>
  <si>
    <t>N番目のタグ付き正規表現にマッチする．</t>
  </si>
  <si>
    <t>\N</t>
  </si>
  <si>
    <t>タグ付き正規表現 r（正規表現のグループ化）を表す． ネストも可能．</t>
  </si>
  <si>
    <t>\(r\)</t>
  </si>
  <si>
    <t>[,]と^</t>
  </si>
  <si>
    <t>[,]と^以外</t>
  </si>
  <si>
    <t>[^][^]</t>
  </si>
  <si>
    <t>英文字</t>
  </si>
  <si>
    <t>英文字以外の１文字</t>
  </si>
  <si>
    <t>[^a-zA-Z]</t>
  </si>
  <si>
    <t>a,b,c,0,1,2</t>
  </si>
  <si>
    <t>d,e,.,3,4,.</t>
  </si>
  <si>
    <t>[^abc012]</t>
  </si>
  <si>
    <t>文字列c1c2...cnの補文字クラス（どれでもない任意の1文字）にマッチする． 記号 ^ 自体を文字クラスに入れたいときには先頭以外の場所に書く．</t>
  </si>
  <si>
    <t>[^c1c2...cn]　　（文字列の先頭に記号 ^ がある）</t>
  </si>
  <si>
    <t>^, a^（\を含まない）</t>
  </si>
  <si>
    <t>[^\]</t>
  </si>
  <si>
    <t>\, \\, ^, a^</t>
  </si>
  <si>
    <t>[\^]</t>
  </si>
  <si>
    <t>[,],(,),{,}の括弧1つ</t>
  </si>
  <si>
    <t>[][(){}]</t>
  </si>
  <si>
    <t>+, -</t>
  </si>
  <si>
    <t>[+-]</t>
  </si>
  <si>
    <t>b-e,6,7,8,9以外</t>
  </si>
  <si>
    <t>b,c,d,e,6,7,8,9</t>
  </si>
  <si>
    <t>[b-e6-9]</t>
  </si>
  <si>
    <t>a,b,c,0,1,2以外</t>
  </si>
  <si>
    <t>[abc012]</t>
  </si>
  <si>
    <t>文字c1から文字c2までの文字範囲の中の任意の1文字にマッチする． このようにハイフン - は特別な意味を持つ． ハイフン - を普通の文字として指定したいときには --- とハイフンを3つならべる（ - から - までの文字，つまり - を指定することになる）．</t>
  </si>
  <si>
    <t>[c1-c2]</t>
  </si>
  <si>
    <t>文字集合c1c2...cnの中の任意の1文字にマッチする． この文字集合内ではメタ文字であっても単なる文字として見なされる．</t>
  </si>
  <si>
    <t>[c1c2...cn]</t>
  </si>
  <si>
    <t>空行</t>
  </si>
  <si>
    <t>^$</t>
  </si>
  <si>
    <t>任意の1文字からなる行</t>
  </si>
  <si>
    <t>^.$</t>
  </si>
  <si>
    <t>行末のピリオド</t>
  </si>
  <si>
    <t>\.$</t>
  </si>
  <si>
    <t>'s '（行末がsで終わらない）</t>
  </si>
  <si>
    <t>行末がs</t>
  </si>
  <si>
    <t>s$</t>
  </si>
  <si>
    <t>行末を表す．</t>
  </si>
  <si>
    <t>' 1.12'（行頭が空白文字）</t>
  </si>
  <si>
    <t>1.1で始まる行</t>
  </si>
  <si>
    <t>^1.1</t>
  </si>
  <si>
    <t>' %'（行頭が空白文字）</t>
  </si>
  <si>
    <t>行頭にある%</t>
  </si>
  <si>
    <t>^%</t>
  </si>
  <si>
    <t>行頭を表す．</t>
  </si>
  <si>
    <t>改行文字 \n 以外の任意の１文字にマッチする．</t>
  </si>
  <si>
    <t>.（ピリオド）</t>
  </si>
  <si>
    <t>] は [ とペアになって始めてメタ文字となる （以下に説明されているが，文字列 c1c2...cn を囲んで [c1c2...cn] となったときには，c1c2...cnの中の任意の1文字として扱われる）．</t>
  </si>
  <si>
    <t>], ]]</t>
  </si>
  <si>
    <t>]</t>
  </si>
  <si>
    <t>\item[注意]</t>
  </si>
  <si>
    <t>\[</t>
  </si>
  <si>
    <t>begin</t>
  </si>
  <si>
    <t>\begin</t>
  </si>
  <si>
    <t>\\begin</t>
  </si>
  <si>
    <t>メタ文字mの特別な意味を消し，その文字文字自身にマッチする．</t>
  </si>
  <si>
    <t>\m</t>
  </si>
  <si>
    <t>apple, APPLE</t>
  </si>
  <si>
    <t>Apple</t>
  </si>
  <si>
    <t>X1, x2</t>
  </si>
  <si>
    <t>x1</t>
  </si>
  <si>
    <t>A, Ab</t>
  </si>
  <si>
    <t>a, ab</t>
  </si>
  <si>
    <t>英数字およびメタ文字以外の記号はそれ自身正規表現で，それ自身とマッチする．</t>
  </si>
  <si>
    <t>grepでメタ文字を含む文字列をパターン（正規表現）として使うときにはパターン文字列を引用符記号『 ' 』で囲む．</t>
  </si>
  <si>
    <t>\    ^    $    .    [    ]    *</t>
  </si>
  <si>
    <t>grepで使えるメタ文字は次の7つである．</t>
  </si>
  <si>
    <t>理解しながら読み進むことが大切． （簡単なgrepの使い方も参考にせよ）． 以下の説明で，半角空白文字を' 'で表すことがある．</t>
  </si>
  <si>
    <t>注意: 正規表現にはいくつかの派生版があり，コマンド grep, sed, awk, perl, ruby, emacs などによって使える正規表現は同じではない． たとえば，Emacsで使える正規表現は grep で使える正規表現よりも表現が豊かである．</t>
  </si>
  <si>
    <t>grepの利用の真骨頂は正規表現をパターンとして指定するときである． 以下，grepで使える正規表現パターンを説明する．</t>
  </si>
  <si>
    <t>grepで正規表現を利用する</t>
  </si>
  <si>
    <t>便利なgrepの使い方</t>
  </si>
  <si>
    <t>^0[789]0-\d{4}-\d{4}$</t>
    <phoneticPr fontId="1"/>
  </si>
  <si>
    <t>https://regexper.com/</t>
    <phoneticPr fontId="1"/>
  </si>
  <si>
    <t>&lt;body&gt;b&lt;/body&gt;</t>
    <phoneticPr fontId="1"/>
  </si>
  <si>
    <t>Flow</t>
    <phoneticPr fontId="1"/>
  </si>
  <si>
    <t>意味</t>
    <rPh sb="0" eb="2">
      <t>イミ</t>
    </rPh>
    <phoneticPr fontId="1"/>
  </si>
  <si>
    <t>数字のみ抽出</t>
    <rPh sb="0" eb="2">
      <t>スウジ</t>
    </rPh>
    <rPh sb="4" eb="6">
      <t>チュウシュツ</t>
    </rPh>
    <phoneticPr fontId="1"/>
  </si>
  <si>
    <t>メアド判定○</t>
    <rPh sb="3" eb="5">
      <t>ハンテイ</t>
    </rPh>
    <phoneticPr fontId="1"/>
  </si>
  <si>
    <t>郵便番号判定○</t>
    <rPh sb="0" eb="2">
      <t>ユウビン</t>
    </rPh>
    <rPh sb="2" eb="4">
      <t>バンゴウ</t>
    </rPh>
    <rPh sb="4" eb="6">
      <t>ハンテイ</t>
    </rPh>
    <phoneticPr fontId="1"/>
  </si>
  <si>
    <t>aからcまでの文字列分割</t>
    <rPh sb="7" eb="10">
      <t>モジレツ</t>
    </rPh>
    <rPh sb="10" eb="12">
      <t>ブンカツ</t>
    </rPh>
    <phoneticPr fontId="1"/>
  </si>
  <si>
    <t>数字以外＋数字の組み合わせ文字列分割</t>
    <rPh sb="0" eb="4">
      <t>スウジイガイ</t>
    </rPh>
    <rPh sb="5" eb="7">
      <t>スウジ</t>
    </rPh>
    <rPh sb="8" eb="9">
      <t>ク</t>
    </rPh>
    <rPh sb="10" eb="11">
      <t>ア</t>
    </rPh>
    <rPh sb="13" eb="16">
      <t>モジレツ</t>
    </rPh>
    <rPh sb="16" eb="18">
      <t>ブンカツ</t>
    </rPh>
    <phoneticPr fontId="1"/>
  </si>
  <si>
    <t>ひらがな連続5文字を抽出</t>
    <rPh sb="4" eb="6">
      <t>レンゾク</t>
    </rPh>
    <rPh sb="7" eb="9">
      <t>モジ</t>
    </rPh>
    <rPh sb="10" eb="12">
      <t>チュウシュツ</t>
    </rPh>
    <phoneticPr fontId="1"/>
  </si>
  <si>
    <t>カタカナ連続3文字を抽出</t>
    <rPh sb="4" eb="6">
      <t>レンゾク</t>
    </rPh>
    <rPh sb="7" eb="9">
      <t>モジ</t>
    </rPh>
    <rPh sb="10" eb="12">
      <t>チュウシュツ</t>
    </rPh>
    <phoneticPr fontId="1"/>
  </si>
  <si>
    <t>半角カタカナ連続5文字を抽出</t>
    <rPh sb="0" eb="2">
      <t>ハンカク</t>
    </rPh>
    <rPh sb="6" eb="8">
      <t>レンゾク</t>
    </rPh>
    <rPh sb="9" eb="11">
      <t>モジ</t>
    </rPh>
    <rPh sb="12" eb="14">
      <t>チュウシュツ</t>
    </rPh>
    <phoneticPr fontId="1"/>
  </si>
  <si>
    <t>あいうｶｷｸｹｺさしすせそﾀﾁﾂﾃﾄは</t>
    <phoneticPr fontId="1"/>
  </si>
  <si>
    <t>ABC123DEF465</t>
    <phoneticPr fontId="1"/>
  </si>
  <si>
    <t>郵便番号</t>
    <rPh sb="0" eb="2">
      <t>ユウビン</t>
    </rPh>
    <rPh sb="2" eb="4">
      <t>バンゴウ</t>
    </rPh>
    <phoneticPr fontId="1"/>
  </si>
  <si>
    <t>携帯電話番号</t>
    <rPh sb="0" eb="2">
      <t>ケイタイ</t>
    </rPh>
    <rPh sb="2" eb="6">
      <t>デンワバンゴウ</t>
    </rPh>
    <phoneticPr fontId="1"/>
  </si>
  <si>
    <t>固定電話番号</t>
    <rPh sb="0" eb="2">
      <t>コテイ</t>
    </rPh>
    <rPh sb="2" eb="4">
      <t>デンワ</t>
    </rPh>
    <rPh sb="4" eb="6">
      <t>バンゴウ</t>
    </rPh>
    <phoneticPr fontId="1"/>
  </si>
  <si>
    <t>aaa_bbb_ccc</t>
    <phoneticPr fontId="1"/>
  </si>
  <si>
    <t>最初の_まで</t>
    <rPh sb="0" eb="2">
      <t>サイショ</t>
    </rPh>
    <phoneticPr fontId="1"/>
  </si>
  <si>
    <t>Ａ</t>
  </si>
  <si>
    <t>あ</t>
  </si>
  <si>
    <t>go+gle</t>
  </si>
  <si>
    <t>gogle</t>
  </si>
  <si>
    <t>go...gle</t>
  </si>
  <si>
    <t>go*gle</t>
  </si>
  <si>
    <t>ggle</t>
  </si>
  <si>
    <t>?</t>
  </si>
  <si>
    <t>go?gle</t>
  </si>
  <si>
    <t>+?</t>
  </si>
  <si>
    <t>go+?gle</t>
  </si>
  <si>
    <t>*?</t>
  </si>
  <si>
    <t>go*?gle</t>
  </si>
  <si>
    <t>??</t>
  </si>
  <si>
    <t>go??gle</t>
  </si>
  <si>
    <t>goog(le|ol)</t>
  </si>
  <si>
    <t>google</t>
  </si>
  <si>
    <t>googol</t>
  </si>
  <si>
    <t>\</t>
  </si>
  <si>
    <t>go\+gle</t>
  </si>
  <si>
    <t>[abc]</t>
  </si>
  <si>
    <t>[a-c]</t>
  </si>
  <si>
    <t>a, b, c</t>
  </si>
  <si>
    <t>[^abc]</t>
  </si>
  <si>
    <t>[^a-c]</t>
  </si>
  <si>
    <t>以外の文字</t>
  </si>
  <si>
    <t>(...)</t>
  </si>
  <si>
    <t>a{3}</t>
  </si>
  <si>
    <t>aaa</t>
  </si>
  <si>
    <t>a{3,}</t>
  </si>
  <si>
    <t>aaaa...</t>
  </si>
  <si>
    <t>a{3,4}</t>
  </si>
  <si>
    <t>aaaa</t>
  </si>
  <si>
    <t>{n,m}?</t>
  </si>
  <si>
    <t>a{3,4}?</t>
  </si>
  <si>
    <t>基本的な正規表現</t>
  </si>
  <si>
    <t>文字</t>
  </si>
  <si>
    <t>説明</t>
  </si>
  <si>
    <t>正規表現の例</t>
  </si>
  <si>
    <t>マッチする例</t>
  </si>
  <si>
    <r>
      <t>任意の１文字</t>
    </r>
    <r>
      <rPr>
        <sz val="11"/>
        <color theme="1"/>
        <rFont val="ＭＳ Ｐゴシック"/>
        <family val="2"/>
        <charset val="128"/>
      </rPr>
      <t> にマッチします。</t>
    </r>
  </si>
  <si>
    <r>
      <t>直前の文字が </t>
    </r>
    <r>
      <rPr>
        <b/>
        <sz val="11"/>
        <color theme="1"/>
        <rFont val="ＭＳ Ｐゴシック"/>
        <family val="3"/>
        <charset val="128"/>
      </rPr>
      <t>１回以上</t>
    </r>
    <r>
      <rPr>
        <sz val="11"/>
        <color theme="1"/>
        <rFont val="ＭＳ Ｐゴシック"/>
        <family val="2"/>
        <charset val="128"/>
      </rPr>
      <t> 繰り返す場合にマッチします。</t>
    </r>
  </si>
  <si>
    <r>
      <t>最長一致</t>
    </r>
    <r>
      <rPr>
        <sz val="11"/>
        <color theme="1"/>
        <rFont val="ＭＳ Ｐゴシック"/>
        <family val="2"/>
        <charset val="128"/>
      </rPr>
      <t>。条件に合う最長の部分に一致します。</t>
    </r>
  </si>
  <si>
    <r>
      <t>直前の文字が </t>
    </r>
    <r>
      <rPr>
        <b/>
        <sz val="11"/>
        <color theme="1"/>
        <rFont val="ＭＳ Ｐゴシック"/>
        <family val="3"/>
        <charset val="128"/>
      </rPr>
      <t>０回以上</t>
    </r>
    <r>
      <rPr>
        <sz val="11"/>
        <color theme="1"/>
        <rFont val="ＭＳ Ｐゴシック"/>
        <family val="2"/>
        <charset val="128"/>
      </rPr>
      <t> 繰り返す場合にマッチします。</t>
    </r>
  </si>
  <si>
    <r>
      <t>直前の文字が </t>
    </r>
    <r>
      <rPr>
        <b/>
        <sz val="11"/>
        <color theme="1"/>
        <rFont val="ＭＳ Ｐゴシック"/>
        <family val="3"/>
        <charset val="128"/>
      </rPr>
      <t>０個か１個</t>
    </r>
    <r>
      <rPr>
        <sz val="11"/>
        <color theme="1"/>
        <rFont val="ＭＳ Ｐゴシック"/>
        <family val="2"/>
        <charset val="128"/>
      </rPr>
      <t> の場合にマッチします。</t>
    </r>
  </si>
  <si>
    <r>
      <t>最短一致</t>
    </r>
    <r>
      <rPr>
        <sz val="11"/>
        <color theme="1"/>
        <rFont val="ＭＳ Ｐゴシック"/>
        <family val="2"/>
        <charset val="128"/>
      </rPr>
      <t>。条件に合う最短の部分に一致します。</t>
    </r>
  </si>
  <si>
    <r>
      <t>いずれかの条件 (OR条件)</t>
    </r>
    <r>
      <rPr>
        <sz val="11"/>
        <color theme="1"/>
        <rFont val="ＭＳ Ｐゴシック"/>
        <family val="2"/>
        <charset val="128"/>
      </rPr>
      <t> として使われます。</t>
    </r>
  </si>
  <si>
    <r>
      <t>直後の正規表現記号を </t>
    </r>
    <r>
      <rPr>
        <b/>
        <sz val="11"/>
        <color theme="1"/>
        <rFont val="ＭＳ Ｐゴシック"/>
        <family val="3"/>
        <charset val="128"/>
      </rPr>
      <t>エスケープ</t>
    </r>
    <r>
      <rPr>
        <sz val="11"/>
        <color theme="1"/>
        <rFont val="ＭＳ Ｐゴシック"/>
        <family val="2"/>
        <charset val="128"/>
      </rPr>
      <t> します。</t>
    </r>
  </si>
  <si>
    <r>
      <t>角括弧に含まれる</t>
    </r>
    <r>
      <rPr>
        <b/>
        <sz val="11"/>
        <color theme="1"/>
        <rFont val="ＭＳ Ｐゴシック"/>
        <family val="3"/>
        <charset val="128"/>
      </rPr>
      <t>いずれか１文字</t>
    </r>
    <r>
      <rPr>
        <sz val="11"/>
        <color theme="1"/>
        <rFont val="ＭＳ Ｐゴシック"/>
        <family val="2"/>
        <charset val="128"/>
      </rPr>
      <t>にマッチします。</t>
    </r>
  </si>
  <si>
    <r>
      <t>角括弧に含まれる</t>
    </r>
    <r>
      <rPr>
        <b/>
        <sz val="11"/>
        <color theme="1"/>
        <rFont val="ＭＳ Ｐゴシック"/>
        <family val="3"/>
        <charset val="128"/>
      </rPr>
      <t>文字以外</t>
    </r>
    <r>
      <rPr>
        <sz val="11"/>
        <color theme="1"/>
        <rFont val="ＭＳ Ｐゴシック"/>
        <family val="2"/>
        <charset val="128"/>
      </rPr>
      <t>にマッチします。</t>
    </r>
  </si>
  <si>
    <r>
      <t>文字を１つのグループに</t>
    </r>
    <r>
      <rPr>
        <b/>
        <sz val="11"/>
        <color theme="1"/>
        <rFont val="ＭＳ Ｐゴシック"/>
        <family val="3"/>
        <charset val="128"/>
      </rPr>
      <t>まとめる</t>
    </r>
    <r>
      <rPr>
        <sz val="11"/>
        <color theme="1"/>
        <rFont val="ＭＳ Ｐゴシック"/>
        <family val="2"/>
        <charset val="128"/>
      </rPr>
      <t>ことができます。</t>
    </r>
  </si>
  <si>
    <r>
      <t>直前の文字の</t>
    </r>
    <r>
      <rPr>
        <b/>
        <sz val="11"/>
        <color theme="1"/>
        <rFont val="ＭＳ Ｐゴシック"/>
        <family val="3"/>
        <charset val="128"/>
      </rPr>
      <t>桁数を指定</t>
    </r>
    <r>
      <rPr>
        <sz val="11"/>
        <color theme="1"/>
        <rFont val="ＭＳ Ｐゴシック"/>
        <family val="2"/>
        <charset val="128"/>
      </rPr>
      <t>できます。</t>
    </r>
  </si>
  <si>
    <r>
      <t>直前の文字の</t>
    </r>
    <r>
      <rPr>
        <b/>
        <sz val="11"/>
        <color theme="1"/>
        <rFont val="ＭＳ Ｐゴシック"/>
        <family val="3"/>
        <charset val="128"/>
      </rPr>
      <t>最小桁数のみ指定</t>
    </r>
    <r>
      <rPr>
        <sz val="11"/>
        <color theme="1"/>
        <rFont val="ＭＳ Ｐゴシック"/>
        <family val="2"/>
        <charset val="128"/>
      </rPr>
      <t>できます。</t>
    </r>
  </si>
  <si>
    <r>
      <t>直前の文字の</t>
    </r>
    <r>
      <rPr>
        <b/>
        <sz val="11"/>
        <color theme="1"/>
        <rFont val="ＭＳ Ｐゴシック"/>
        <family val="3"/>
        <charset val="128"/>
      </rPr>
      <t>最小桁数と最大桁数を指定</t>
    </r>
    <r>
      <rPr>
        <sz val="11"/>
        <color theme="1"/>
        <rFont val="ＭＳ Ｐゴシック"/>
        <family val="2"/>
        <charset val="128"/>
      </rPr>
      <t>できます。</t>
    </r>
  </si>
  <si>
    <t>定義済みの正規表現</t>
  </si>
  <si>
    <t>対応する表現</t>
  </si>
  <si>
    <t>\t</t>
  </si>
  <si>
    <t>タブ</t>
  </si>
  <si>
    <t>(なし)</t>
  </si>
  <si>
    <t>\r</t>
  </si>
  <si>
    <t>改行。CR(Carriage Return：0x0D)</t>
  </si>
  <si>
    <t>\n</t>
  </si>
  <si>
    <t>改行。LF(Line Feed：0x0A)</t>
  </si>
  <si>
    <t>\d</t>
  </si>
  <si>
    <t>すべての数字</t>
  </si>
  <si>
    <t>[0-9]</t>
  </si>
  <si>
    <t>\D</t>
  </si>
  <si>
    <t>すべての数字以外の文字</t>
  </si>
  <si>
    <t>[^0-9]</t>
  </si>
  <si>
    <t>\s</t>
  </si>
  <si>
    <t>垂直タブ以外のすべての空白文字</t>
  </si>
  <si>
    <t>[ \t\f\r\n]</t>
  </si>
  <si>
    <t>\S</t>
  </si>
  <si>
    <t>すべての非空白文字</t>
  </si>
  <si>
    <t>[^ \t\f\r\n]</t>
  </si>
  <si>
    <t>アルファベット、アンダーバー、数字</t>
  </si>
  <si>
    <t>[a-zA-Z_0-9]</t>
  </si>
  <si>
    <t>アルファベット、アンダーバー、数字以外の文字</t>
  </si>
  <si>
    <t>[^a-zA-Z_0-9]</t>
  </si>
  <si>
    <t>特定の位置関係の正規表現</t>
  </si>
  <si>
    <r>
      <t>直後の文字が行の </t>
    </r>
    <r>
      <rPr>
        <b/>
        <sz val="11"/>
        <color theme="1"/>
        <rFont val="ＭＳ Ｐゴシック"/>
        <family val="3"/>
        <charset val="128"/>
      </rPr>
      <t>先頭</t>
    </r>
    <r>
      <rPr>
        <sz val="11"/>
        <color theme="1"/>
        <rFont val="ＭＳ Ｐゴシック"/>
        <family val="2"/>
        <charset val="128"/>
      </rPr>
      <t> にある場合にマッチします。</t>
    </r>
  </si>
  <si>
    <t>^google</t>
  </si>
  <si>
    <t>google...</t>
  </si>
  <si>
    <r>
      <t>直前の文字が行の </t>
    </r>
    <r>
      <rPr>
        <b/>
        <sz val="11"/>
        <color theme="1"/>
        <rFont val="ＭＳ Ｐゴシック"/>
        <family val="3"/>
        <charset val="128"/>
      </rPr>
      <t>末尾</t>
    </r>
    <r>
      <rPr>
        <sz val="11"/>
        <color theme="1"/>
        <rFont val="ＭＳ Ｐゴシック"/>
        <family val="2"/>
        <charset val="128"/>
      </rPr>
      <t> にある場合にマッチします。</t>
    </r>
  </si>
  <si>
    <t>google$</t>
  </si>
  <si>
    <t>...google</t>
  </si>
  <si>
    <t>単語の先頭にマッチします。</t>
  </si>
  <si>
    <t>*google</t>
  </si>
  <si>
    <t>単語の末尾にマッチします。</t>
  </si>
  <si>
    <t>google*</t>
  </si>
  <si>
    <t>\b</t>
  </si>
  <si>
    <t>単語の先頭か末尾にマッチします。</t>
  </si>
  <si>
    <t>*google*</t>
  </si>
  <si>
    <t>\B</t>
  </si>
  <si>
    <t>単語の先頭か末尾以外にマッチします。</t>
  </si>
  <si>
    <t>\A</t>
  </si>
  <si>
    <t>ファイルの先頭にマッチします。</t>
  </si>
  <si>
    <t>\z</t>
  </si>
  <si>
    <t>ファイルの末尾にマッチします。</t>
  </si>
  <si>
    <t>\G</t>
  </si>
  <si>
    <t>直前の一致文字列の末尾にマッチします。</t>
  </si>
  <si>
    <t>置換文字列で使える正規表現</t>
  </si>
  <si>
    <t>一致した文字列全体に置換します。</t>
  </si>
  <si>
    <t>\1 ～ \9</t>
  </si>
  <si>
    <t>一致した文字列の１～９番目に対応する文字列に置換します。</t>
  </si>
  <si>
    <t>\l</t>
  </si>
  <si>
    <t>次の１文字を小文字に変換します。</t>
  </si>
  <si>
    <t>\L...\E</t>
  </si>
  <si>
    <t>挟まれた文字列を小文字に変換します。</t>
  </si>
  <si>
    <t>\u</t>
  </si>
  <si>
    <t>次の１文字を大文字に変換します。</t>
  </si>
  <si>
    <t>\U...\E</t>
  </si>
  <si>
    <t>挟まれた文字列を大文字に変換します。</t>
  </si>
  <si>
    <t>正規表現のサンプル一覧</t>
  </si>
  <si>
    <t>a から始まって z で終わる 3 桁の文字列</t>
  </si>
  <si>
    <r>
      <t>1. a</t>
    </r>
    <r>
      <rPr>
        <sz val="10"/>
        <color rgb="FF666600"/>
        <rFont val="Consolas"/>
        <family val="3"/>
      </rPr>
      <t>.</t>
    </r>
    <r>
      <rPr>
        <sz val="10"/>
        <color rgb="FF555555"/>
        <rFont val="Consolas"/>
        <family val="3"/>
      </rPr>
      <t>z</t>
    </r>
  </si>
  <si>
    <t>メタ文字</t>
  </si>
  <si>
    <t>任意の 1 文字。文字の種類には関係なく 1 文字に該当します。</t>
  </si>
  <si>
    <t>a から始まって z で終わる 2 桁以上の文字列</t>
  </si>
  <si>
    <r>
      <t>1. a</t>
    </r>
    <r>
      <rPr>
        <sz val="10"/>
        <color rgb="FF666600"/>
        <rFont val="Consolas"/>
        <family val="3"/>
      </rPr>
      <t>.*</t>
    </r>
    <r>
      <rPr>
        <sz val="10"/>
        <color rgb="FF555555"/>
        <rFont val="Consolas"/>
        <family val="3"/>
      </rPr>
      <t>z</t>
    </r>
  </si>
  <si>
    <t>直前のパターンを 0 回以上繰り返し。</t>
  </si>
  <si>
    <t>a から始まって z で終わる 3 桁以上の文字列</t>
  </si>
  <si>
    <r>
      <t>1. a</t>
    </r>
    <r>
      <rPr>
        <sz val="10"/>
        <color rgb="FF666600"/>
        <rFont val="Consolas"/>
        <family val="3"/>
      </rPr>
      <t>.+</t>
    </r>
    <r>
      <rPr>
        <sz val="10"/>
        <color rgb="FF555555"/>
        <rFont val="Consolas"/>
        <family val="3"/>
      </rPr>
      <t>z</t>
    </r>
  </si>
  <si>
    <t>直前のパターンを 1 回以上繰り返し。</t>
  </si>
  <si>
    <t>半角数字</t>
  </si>
  <si>
    <t>1. \d</t>
  </si>
  <si>
    <t>半角数字。それぞれ 1 文字ずつヒットします。</t>
  </si>
  <si>
    <t>半角数字以外</t>
  </si>
  <si>
    <t>1. \D</t>
  </si>
  <si>
    <t>半角数字以外。スペースも含めそれぞれ 1 文字ずつヒットします。</t>
  </si>
  <si>
    <t>4 桁の半角数字</t>
  </si>
  <si>
    <r>
      <t>1. \d</t>
    </r>
    <r>
      <rPr>
        <sz val="10"/>
        <color rgb="FF666600"/>
        <rFont val="Consolas"/>
        <family val="3"/>
      </rPr>
      <t>{</t>
    </r>
    <r>
      <rPr>
        <sz val="10"/>
        <color rgb="FF006666"/>
        <rFont val="Consolas"/>
        <family val="3"/>
      </rPr>
      <t>4</t>
    </r>
    <r>
      <rPr>
        <sz val="10"/>
        <color rgb="FF666600"/>
        <rFont val="Consolas"/>
        <family val="3"/>
      </rPr>
      <t>}</t>
    </r>
  </si>
  <si>
    <t>直前のパターンを n 回繰り返し。</t>
  </si>
  <si>
    <t>4 桁以上の半角数字</t>
  </si>
  <si>
    <r>
      <t>1. \d</t>
    </r>
    <r>
      <rPr>
        <sz val="10"/>
        <color rgb="FF666600"/>
        <rFont val="Consolas"/>
        <family val="3"/>
      </rPr>
      <t>{</t>
    </r>
    <r>
      <rPr>
        <sz val="10"/>
        <color rgb="FF006666"/>
        <rFont val="Consolas"/>
        <family val="3"/>
      </rPr>
      <t>4</t>
    </r>
    <r>
      <rPr>
        <sz val="10"/>
        <color rgb="FF666600"/>
        <rFont val="Consolas"/>
        <family val="3"/>
      </rPr>
      <t>,}</t>
    </r>
  </si>
  <si>
    <t>直前のパターンを n 回以上繰り返し。</t>
  </si>
  <si>
    <t>1 ～ 4 桁の半角数字</t>
  </si>
  <si>
    <r>
      <t>1. \d</t>
    </r>
    <r>
      <rPr>
        <sz val="10"/>
        <color rgb="FF666600"/>
        <rFont val="Consolas"/>
        <family val="3"/>
      </rPr>
      <t>{</t>
    </r>
    <r>
      <rPr>
        <sz val="10"/>
        <color rgb="FF006666"/>
        <rFont val="Consolas"/>
        <family val="3"/>
      </rPr>
      <t>1</t>
    </r>
    <r>
      <rPr>
        <sz val="10"/>
        <color rgb="FF666600"/>
        <rFont val="Consolas"/>
        <family val="3"/>
      </rPr>
      <t>,</t>
    </r>
    <r>
      <rPr>
        <sz val="10"/>
        <color rgb="FF006666"/>
        <rFont val="Consolas"/>
        <family val="3"/>
      </rPr>
      <t>4</t>
    </r>
    <r>
      <rPr>
        <sz val="10"/>
        <color rgb="FF666600"/>
        <rFont val="Consolas"/>
        <family val="3"/>
      </rPr>
      <t>}</t>
    </r>
  </si>
  <si>
    <t>直前のパターンを n ～ m 回以上繰り返し。最長一致なので、4 桁の数字列に優先してヒットします。</t>
  </si>
  <si>
    <t>4 ～ 10 桁の半角数字 (最長一致)</t>
  </si>
  <si>
    <r>
      <t>1. \d</t>
    </r>
    <r>
      <rPr>
        <sz val="10"/>
        <color rgb="FF666600"/>
        <rFont val="Consolas"/>
        <family val="3"/>
      </rPr>
      <t>{</t>
    </r>
    <r>
      <rPr>
        <sz val="10"/>
        <color rgb="FF006666"/>
        <rFont val="Consolas"/>
        <family val="3"/>
      </rPr>
      <t>4</t>
    </r>
    <r>
      <rPr>
        <sz val="10"/>
        <color rgb="FF666600"/>
        <rFont val="Consolas"/>
        <family val="3"/>
      </rPr>
      <t>,</t>
    </r>
    <r>
      <rPr>
        <sz val="10"/>
        <color rgb="FF006666"/>
        <rFont val="Consolas"/>
        <family val="3"/>
      </rPr>
      <t>10</t>
    </r>
    <r>
      <rPr>
        <sz val="10"/>
        <color rgb="FF666600"/>
        <rFont val="Consolas"/>
        <family val="3"/>
      </rPr>
      <t>}</t>
    </r>
  </si>
  <si>
    <t>4 ～ 10 桁の半角数字 (最短一致)</t>
  </si>
  <si>
    <r>
      <t>1. \d</t>
    </r>
    <r>
      <rPr>
        <sz val="10"/>
        <color rgb="FF666600"/>
        <rFont val="Consolas"/>
        <family val="3"/>
      </rPr>
      <t>{</t>
    </r>
    <r>
      <rPr>
        <sz val="10"/>
        <color rgb="FF006666"/>
        <rFont val="Consolas"/>
        <family val="3"/>
      </rPr>
      <t>4</t>
    </r>
    <r>
      <rPr>
        <sz val="10"/>
        <color rgb="FF666600"/>
        <rFont val="Consolas"/>
        <family val="3"/>
      </rPr>
      <t>,</t>
    </r>
    <r>
      <rPr>
        <sz val="10"/>
        <color rgb="FF006666"/>
        <rFont val="Consolas"/>
        <family val="3"/>
      </rPr>
      <t>10</t>
    </r>
    <r>
      <rPr>
        <sz val="10"/>
        <color rgb="FF666600"/>
        <rFont val="Consolas"/>
        <family val="3"/>
      </rPr>
      <t>}?</t>
    </r>
  </si>
  <si>
    <t>直前の繰り返し指定を最短一致にする。できるだけ短い文字列にヒットしようとします。</t>
  </si>
  <si>
    <t>桁区切りのカンマ付数字列</t>
  </si>
  <si>
    <r>
      <t>1. \b\d</t>
    </r>
    <r>
      <rPr>
        <sz val="10"/>
        <color rgb="FF666600"/>
        <rFont val="Consolas"/>
        <family val="3"/>
      </rPr>
      <t>{</t>
    </r>
    <r>
      <rPr>
        <sz val="10"/>
        <color rgb="FF006666"/>
        <rFont val="Consolas"/>
        <family val="3"/>
      </rPr>
      <t>1</t>
    </r>
    <r>
      <rPr>
        <sz val="10"/>
        <color rgb="FF666600"/>
        <rFont val="Consolas"/>
        <family val="3"/>
      </rPr>
      <t>,</t>
    </r>
    <r>
      <rPr>
        <sz val="10"/>
        <color rgb="FF006666"/>
        <rFont val="Consolas"/>
        <family val="3"/>
      </rPr>
      <t>3</t>
    </r>
    <r>
      <rPr>
        <sz val="10"/>
        <color rgb="FF666600"/>
        <rFont val="Consolas"/>
        <family val="3"/>
      </rPr>
      <t>}(,</t>
    </r>
    <r>
      <rPr>
        <sz val="10"/>
        <color rgb="FF555555"/>
        <rFont val="Consolas"/>
        <family val="3"/>
      </rPr>
      <t>\d</t>
    </r>
    <r>
      <rPr>
        <sz val="10"/>
        <color rgb="FF666600"/>
        <rFont val="Consolas"/>
        <family val="3"/>
      </rPr>
      <t>{</t>
    </r>
    <r>
      <rPr>
        <sz val="10"/>
        <color rgb="FF006666"/>
        <rFont val="Consolas"/>
        <family val="3"/>
      </rPr>
      <t>3</t>
    </r>
    <r>
      <rPr>
        <sz val="10"/>
        <color rgb="FF666600"/>
        <rFont val="Consolas"/>
        <family val="3"/>
      </rPr>
      <t>})*</t>
    </r>
    <r>
      <rPr>
        <sz val="10"/>
        <color rgb="FF555555"/>
        <rFont val="Consolas"/>
        <family val="3"/>
      </rPr>
      <t>\b</t>
    </r>
  </si>
  <si>
    <t>語の区切り文字。</t>
  </si>
  <si>
    <t>半角英大文字</t>
  </si>
  <si>
    <t>1. \u</t>
  </si>
  <si>
    <t>半角英大文字。</t>
  </si>
  <si>
    <t>1. \U</t>
  </si>
  <si>
    <t>\U</t>
  </si>
  <si>
    <t>半角英大文字以外。</t>
  </si>
  <si>
    <t>半角英小文字</t>
  </si>
  <si>
    <t>1. \l</t>
  </si>
  <si>
    <t>半角英小文字。</t>
  </si>
  <si>
    <t>半角英小文字以外</t>
  </si>
  <si>
    <t>1. \L</t>
  </si>
  <si>
    <t>\L</t>
  </si>
  <si>
    <t>半角英小文字以外。</t>
  </si>
  <si>
    <t>半角英文字</t>
  </si>
  <si>
    <r>
      <t>1. [</t>
    </r>
    <r>
      <rPr>
        <sz val="10"/>
        <color rgb="FF555555"/>
        <rFont val="Consolas"/>
        <family val="3"/>
      </rPr>
      <t>\u\l</t>
    </r>
    <r>
      <rPr>
        <sz val="10"/>
        <color rgb="FF666600"/>
        <rFont val="Consolas"/>
        <family val="3"/>
      </rPr>
      <t>]</t>
    </r>
  </si>
  <si>
    <t>括弧内のいずれか 1 文字。</t>
  </si>
  <si>
    <t>半角英文字以外</t>
  </si>
  <si>
    <r>
      <t>1. [^</t>
    </r>
    <r>
      <rPr>
        <sz val="10"/>
        <color rgb="FF555555"/>
        <rFont val="Consolas"/>
        <family val="3"/>
      </rPr>
      <t>\u\l</t>
    </r>
    <r>
      <rPr>
        <sz val="10"/>
        <color rgb="FF666600"/>
        <rFont val="Consolas"/>
        <family val="3"/>
      </rPr>
      <t>]</t>
    </r>
  </si>
  <si>
    <t>括弧内に含まれない 1 文字。</t>
  </si>
  <si>
    <t>英単語（半角英文字列）</t>
  </si>
  <si>
    <r>
      <t>1. \b</t>
    </r>
    <r>
      <rPr>
        <sz val="10"/>
        <color rgb="FF666600"/>
        <rFont val="Consolas"/>
        <family val="3"/>
      </rPr>
      <t>[</t>
    </r>
    <r>
      <rPr>
        <sz val="10"/>
        <color rgb="FF555555"/>
        <rFont val="Consolas"/>
        <family val="3"/>
      </rPr>
      <t>\u\l</t>
    </r>
    <r>
      <rPr>
        <sz val="10"/>
        <color rgb="FF666600"/>
        <rFont val="Consolas"/>
        <family val="3"/>
      </rPr>
      <t>]+</t>
    </r>
    <r>
      <rPr>
        <sz val="10"/>
        <color rgb="FF555555"/>
        <rFont val="Consolas"/>
        <family val="3"/>
      </rPr>
      <t>\b</t>
    </r>
  </si>
  <si>
    <t>1 桁の偶数</t>
  </si>
  <si>
    <r>
      <t>1. [</t>
    </r>
    <r>
      <rPr>
        <sz val="10"/>
        <color rgb="FF006666"/>
        <rFont val="Consolas"/>
        <family val="3"/>
      </rPr>
      <t>02468</t>
    </r>
    <r>
      <rPr>
        <sz val="10"/>
        <color rgb="FF666600"/>
        <rFont val="Consolas"/>
        <family val="3"/>
      </rPr>
      <t>]</t>
    </r>
  </si>
  <si>
    <t>1 桁以上の偶数</t>
  </si>
  <si>
    <r>
      <t>1. \d</t>
    </r>
    <r>
      <rPr>
        <sz val="10"/>
        <color rgb="FF666600"/>
        <rFont val="Consolas"/>
        <family val="3"/>
      </rPr>
      <t>*[</t>
    </r>
    <r>
      <rPr>
        <sz val="10"/>
        <color rgb="FF006666"/>
        <rFont val="Consolas"/>
        <family val="3"/>
      </rPr>
      <t>02468</t>
    </r>
    <r>
      <rPr>
        <sz val="10"/>
        <color rgb="FF666600"/>
        <rFont val="Consolas"/>
        <family val="3"/>
      </rPr>
      <t>]</t>
    </r>
    <r>
      <rPr>
        <sz val="10"/>
        <color rgb="FF555555"/>
        <rFont val="Consolas"/>
        <family val="3"/>
      </rPr>
      <t>\b</t>
    </r>
  </si>
  <si>
    <t>1 桁の奇数</t>
  </si>
  <si>
    <r>
      <t>1. [</t>
    </r>
    <r>
      <rPr>
        <sz val="10"/>
        <color rgb="FF006666"/>
        <rFont val="Consolas"/>
        <family val="3"/>
      </rPr>
      <t>13579</t>
    </r>
    <r>
      <rPr>
        <sz val="10"/>
        <color rgb="FF666600"/>
        <rFont val="Consolas"/>
        <family val="3"/>
      </rPr>
      <t>]</t>
    </r>
  </si>
  <si>
    <t>1 桁以上の奇数</t>
  </si>
  <si>
    <r>
      <t>1. \d</t>
    </r>
    <r>
      <rPr>
        <sz val="10"/>
        <color rgb="FF666600"/>
        <rFont val="Consolas"/>
        <family val="3"/>
      </rPr>
      <t>*[</t>
    </r>
    <r>
      <rPr>
        <sz val="10"/>
        <color rgb="FF006666"/>
        <rFont val="Consolas"/>
        <family val="3"/>
      </rPr>
      <t>13579</t>
    </r>
    <r>
      <rPr>
        <sz val="10"/>
        <color rgb="FF666600"/>
        <rFont val="Consolas"/>
        <family val="3"/>
      </rPr>
      <t>]</t>
    </r>
    <r>
      <rPr>
        <sz val="10"/>
        <color rgb="FF555555"/>
        <rFont val="Consolas"/>
        <family val="3"/>
      </rPr>
      <t>\b</t>
    </r>
  </si>
  <si>
    <t>3 ～ 7 までの数字</t>
  </si>
  <si>
    <r>
      <t>1. [</t>
    </r>
    <r>
      <rPr>
        <sz val="10"/>
        <color rgb="FF006666"/>
        <rFont val="Consolas"/>
        <family val="3"/>
      </rPr>
      <t>3</t>
    </r>
    <r>
      <rPr>
        <sz val="10"/>
        <color rgb="FF666600"/>
        <rFont val="Consolas"/>
        <family val="3"/>
      </rPr>
      <t>-</t>
    </r>
    <r>
      <rPr>
        <sz val="10"/>
        <color rgb="FF006666"/>
        <rFont val="Consolas"/>
        <family val="3"/>
      </rPr>
      <t>7</t>
    </r>
    <r>
      <rPr>
        <sz val="10"/>
        <color rgb="FF666600"/>
        <rFont val="Consolas"/>
        <family val="3"/>
      </rPr>
      <t>]</t>
    </r>
  </si>
  <si>
    <t>-</t>
  </si>
  <si>
    <r>
      <t>[ ]</t>
    </r>
    <r>
      <rPr>
        <sz val="11"/>
        <color theme="1"/>
        <rFont val="ＭＳ Ｐゴシック"/>
        <family val="2"/>
        <charset val="128"/>
      </rPr>
      <t> 内でのみ指定できる範囲指定のメタ文字。</t>
    </r>
  </si>
  <si>
    <t>1 桁の 16 進数</t>
  </si>
  <si>
    <r>
      <t>1. [</t>
    </r>
    <r>
      <rPr>
        <sz val="10"/>
        <color rgb="FF006666"/>
        <rFont val="Consolas"/>
        <family val="3"/>
      </rPr>
      <t>0</t>
    </r>
    <r>
      <rPr>
        <sz val="10"/>
        <color rgb="FF666600"/>
        <rFont val="Consolas"/>
        <family val="3"/>
      </rPr>
      <t>-</t>
    </r>
    <r>
      <rPr>
        <sz val="10"/>
        <color rgb="FF006666"/>
        <rFont val="Consolas"/>
        <family val="3"/>
      </rPr>
      <t>9A</t>
    </r>
    <r>
      <rPr>
        <sz val="10"/>
        <color rgb="FF666600"/>
        <rFont val="Consolas"/>
        <family val="3"/>
      </rPr>
      <t>-</t>
    </r>
    <r>
      <rPr>
        <sz val="10"/>
        <color rgb="FF660066"/>
        <rFont val="Consolas"/>
        <family val="3"/>
      </rPr>
      <t>Fa</t>
    </r>
    <r>
      <rPr>
        <sz val="10"/>
        <color rgb="FF666600"/>
        <rFont val="Consolas"/>
        <family val="3"/>
      </rPr>
      <t>-</t>
    </r>
    <r>
      <rPr>
        <sz val="10"/>
        <color rgb="FF555555"/>
        <rFont val="Consolas"/>
        <family val="3"/>
      </rPr>
      <t>f</t>
    </r>
    <r>
      <rPr>
        <sz val="10"/>
        <color rgb="FF666600"/>
        <rFont val="Consolas"/>
        <family val="3"/>
      </rPr>
      <t>]</t>
    </r>
  </si>
  <si>
    <t>1 桁の全角数字</t>
  </si>
  <si>
    <t>1. [０-９]</t>
  </si>
  <si>
    <t>1 桁の全角英字</t>
  </si>
  <si>
    <t>1. [Ａ-Ｚ]</t>
  </si>
  <si>
    <t>ひらがな</t>
  </si>
  <si>
    <t>1. [ぁ-ん]</t>
  </si>
  <si>
    <t>カタカナ</t>
  </si>
  <si>
    <t>1. [ァ-ヴ]</t>
  </si>
  <si>
    <t>半角カタカナ</t>
  </si>
  <si>
    <t>1. [ｦ-ﾟ]</t>
  </si>
  <si>
    <t>改行</t>
  </si>
  <si>
    <t>1. \n</t>
  </si>
  <si>
    <t>改行文字。CRLF 改行、LF 改行にもヒットします</t>
  </si>
  <si>
    <t>空白文字</t>
  </si>
  <si>
    <t>1. \s</t>
  </si>
  <si>
    <t>空白文字。半角スペース、タブ、改行文字のいずれかにヒットします（全角スペースにはヒットしません）。</t>
  </si>
  <si>
    <t>OR 条件</t>
  </si>
  <si>
    <t>1. 東京|大阪</t>
  </si>
  <si>
    <t>OR 条件。A または B。</t>
  </si>
  <si>
    <t>1. ^</t>
  </si>
  <si>
    <t>行頭（ウィンドウ幅などで折り返した表示上の行頭は含まない）。</t>
  </si>
  <si>
    <t>1. $</t>
  </si>
  <si>
    <t>行末（ウィンドウ幅などで折り返した表示上の行末は含まない）。</t>
  </si>
  <si>
    <t>空白行</t>
  </si>
  <si>
    <r>
      <t>1. ^</t>
    </r>
    <r>
      <rPr>
        <sz val="10"/>
        <color rgb="FF555555"/>
        <rFont val="Consolas"/>
        <family val="3"/>
      </rPr>
      <t>\n</t>
    </r>
  </si>
  <si>
    <t>行全体</t>
  </si>
  <si>
    <r>
      <t>1. ^.*</t>
    </r>
    <r>
      <rPr>
        <sz val="10"/>
        <color rgb="FF555555"/>
        <rFont val="Consolas"/>
        <family val="3"/>
      </rPr>
      <t>$</t>
    </r>
  </si>
  <si>
    <t>使用頻度の高い正規表現式</t>
  </si>
  <si>
    <t>Email アドレス (RFC準拠ではない)</t>
  </si>
  <si>
    <t>^\w+([-+.]\w+)*@\w+([-.]\w+)*\.\w+([-.]\w+)*$</t>
  </si>
  <si>
    <t>URL</t>
  </si>
  <si>
    <t>^https?://([\w-]+\.)+[\w-]+(/[\w-./?%&amp;=]*)?$</t>
  </si>
  <si>
    <t>ドメイン名</t>
  </si>
  <si>
    <t>^[a-zA-Z0-9][a-zA-Z0-9-]{1,61}[a-zA-Z0-9]\.[a-zA-Z-]{2,}$</t>
  </si>
  <si>
    <t>固定電話番号</t>
  </si>
  <si>
    <t>^0\d(-\d{4}|\d-\d{3}|\d\d-\d\d|\d{3}-\d)-\d{4}$</t>
  </si>
  <si>
    <t>携帯電話番号</t>
  </si>
  <si>
    <t>^0[789]0-\d{4}-\d{4}$</t>
  </si>
  <si>
    <t>IP 電話番号</t>
  </si>
  <si>
    <t>^050-\d{4}-\d{4}$</t>
  </si>
  <si>
    <t>フリーダイヤル</t>
  </si>
  <si>
    <t>^(0120|0800)-\d{3}-\d{3}$</t>
  </si>
  <si>
    <t>日付 (YYYY-MM-DD形式)</t>
  </si>
  <si>
    <t>^\d{4}-\d\d-\d\d$</t>
  </si>
  <si>
    <t>^\d{3}-\d{4}$</t>
  </si>
  <si>
    <t>言語別の正規表現一覧</t>
  </si>
  <si>
    <t>JavaScript</t>
  </si>
  <si>
    <r>
      <t>1. var</t>
    </r>
    <r>
      <rPr>
        <sz val="10"/>
        <color rgb="FF555555"/>
        <rFont val="Consolas"/>
        <family val="3"/>
      </rPr>
      <t xml:space="preserve"> regex </t>
    </r>
    <r>
      <rPr>
        <sz val="10"/>
        <color rgb="FF666600"/>
        <rFont val="Consolas"/>
        <family val="3"/>
      </rPr>
      <t>=</t>
    </r>
    <r>
      <rPr>
        <sz val="10"/>
        <color rgb="FF555555"/>
        <rFont val="Consolas"/>
        <family val="3"/>
      </rPr>
      <t xml:space="preserve"> </t>
    </r>
    <r>
      <rPr>
        <sz val="10"/>
        <color rgb="FFB71C1C"/>
        <rFont val="Consolas"/>
        <family val="3"/>
      </rPr>
      <t>/^\w+([-+.]\w+)*@\w+([-.]\w+)*\.\w+([-.]\w+)*$/</t>
    </r>
    <r>
      <rPr>
        <sz val="10"/>
        <color rgb="FF666600"/>
        <rFont val="Consolas"/>
        <family val="3"/>
      </rPr>
      <t>;</t>
    </r>
  </si>
  <si>
    <r>
      <t>2. regex</t>
    </r>
    <r>
      <rPr>
        <sz val="10"/>
        <color rgb="FF666600"/>
        <rFont val="Consolas"/>
        <family val="3"/>
      </rPr>
      <t>.</t>
    </r>
    <r>
      <rPr>
        <sz val="10"/>
        <color rgb="FF555555"/>
        <rFont val="Consolas"/>
        <family val="3"/>
      </rPr>
      <t>test</t>
    </r>
    <r>
      <rPr>
        <sz val="10"/>
        <color rgb="FF666600"/>
        <rFont val="Consolas"/>
        <family val="3"/>
      </rPr>
      <t>(</t>
    </r>
    <r>
      <rPr>
        <sz val="10"/>
        <color rgb="FFB71C1C"/>
        <rFont val="Consolas"/>
        <family val="3"/>
      </rPr>
      <t>"murashun@gmail.com"</t>
    </r>
    <r>
      <rPr>
        <sz val="10"/>
        <color rgb="FF666600"/>
        <rFont val="Consolas"/>
        <family val="3"/>
      </rPr>
      <t>);</t>
    </r>
  </si>
  <si>
    <t>Javascript の正規表現例</t>
  </si>
  <si>
    <t>Python</t>
  </si>
  <si>
    <t>1. #!/usr/bin/env python</t>
  </si>
  <si>
    <r>
      <t>2. import</t>
    </r>
    <r>
      <rPr>
        <sz val="10"/>
        <color rgb="FF555555"/>
        <rFont val="Consolas"/>
        <family val="3"/>
      </rPr>
      <t xml:space="preserve"> re</t>
    </r>
  </si>
  <si>
    <r>
      <t xml:space="preserve">4. rep </t>
    </r>
    <r>
      <rPr>
        <sz val="10"/>
        <color rgb="FF666600"/>
        <rFont val="Consolas"/>
        <family val="3"/>
      </rPr>
      <t>=</t>
    </r>
    <r>
      <rPr>
        <sz val="10"/>
        <color rgb="FF555555"/>
        <rFont val="Consolas"/>
        <family val="3"/>
      </rPr>
      <t xml:space="preserve"> r</t>
    </r>
    <r>
      <rPr>
        <sz val="10"/>
        <color rgb="FFB71C1C"/>
        <rFont val="Consolas"/>
        <family val="3"/>
      </rPr>
      <t>'^\w+([-+.]\w+)*@\w+([-.]\w+)*\.\w+([-.]\w+)*$'</t>
    </r>
  </si>
  <si>
    <r>
      <t xml:space="preserve">5. email </t>
    </r>
    <r>
      <rPr>
        <sz val="10"/>
        <color rgb="FF666600"/>
        <rFont val="Consolas"/>
        <family val="3"/>
      </rPr>
      <t>=</t>
    </r>
    <r>
      <rPr>
        <sz val="10"/>
        <color rgb="FF555555"/>
        <rFont val="Consolas"/>
        <family val="3"/>
      </rPr>
      <t xml:space="preserve"> </t>
    </r>
    <r>
      <rPr>
        <sz val="10"/>
        <color rgb="FFB71C1C"/>
        <rFont val="Consolas"/>
        <family val="3"/>
      </rPr>
      <t>'murashun@gmail.com'</t>
    </r>
  </si>
  <si>
    <r>
      <t xml:space="preserve">6. is_email </t>
    </r>
    <r>
      <rPr>
        <sz val="10"/>
        <color rgb="FF666600"/>
        <rFont val="Consolas"/>
        <family val="3"/>
      </rPr>
      <t>=</t>
    </r>
    <r>
      <rPr>
        <sz val="10"/>
        <color rgb="FF555555"/>
        <rFont val="Consolas"/>
        <family val="3"/>
      </rPr>
      <t xml:space="preserve"> re</t>
    </r>
    <r>
      <rPr>
        <sz val="10"/>
        <color rgb="FF666600"/>
        <rFont val="Consolas"/>
        <family val="3"/>
      </rPr>
      <t>.</t>
    </r>
    <r>
      <rPr>
        <sz val="10"/>
        <color rgb="FF555555"/>
        <rFont val="Consolas"/>
        <family val="3"/>
      </rPr>
      <t>match</t>
    </r>
    <r>
      <rPr>
        <sz val="10"/>
        <color rgb="FF666600"/>
        <rFont val="Consolas"/>
        <family val="3"/>
      </rPr>
      <t>(</t>
    </r>
    <r>
      <rPr>
        <sz val="10"/>
        <color rgb="FF555555"/>
        <rFont val="Consolas"/>
        <family val="3"/>
      </rPr>
      <t>rep</t>
    </r>
    <r>
      <rPr>
        <sz val="10"/>
        <color rgb="FF666600"/>
        <rFont val="Consolas"/>
        <family val="3"/>
      </rPr>
      <t>,</t>
    </r>
    <r>
      <rPr>
        <sz val="10"/>
        <color rgb="FF555555"/>
        <rFont val="Consolas"/>
        <family val="3"/>
      </rPr>
      <t xml:space="preserve"> email</t>
    </r>
    <r>
      <rPr>
        <sz val="10"/>
        <color rgb="FF666600"/>
        <rFont val="Consolas"/>
        <family val="3"/>
      </rPr>
      <t>)</t>
    </r>
    <r>
      <rPr>
        <sz val="10"/>
        <color rgb="FF555555"/>
        <rFont val="Consolas"/>
        <family val="3"/>
      </rPr>
      <t xml:space="preserve"> </t>
    </r>
    <r>
      <rPr>
        <sz val="10"/>
        <color rgb="FF0D47A1"/>
        <rFont val="Consolas"/>
        <family val="3"/>
      </rPr>
      <t>is</t>
    </r>
    <r>
      <rPr>
        <sz val="10"/>
        <color rgb="FF555555"/>
        <rFont val="Consolas"/>
        <family val="3"/>
      </rPr>
      <t xml:space="preserve"> </t>
    </r>
    <r>
      <rPr>
        <sz val="10"/>
        <color rgb="FF0D47A1"/>
        <rFont val="Consolas"/>
        <family val="3"/>
      </rPr>
      <t>not</t>
    </r>
    <r>
      <rPr>
        <sz val="10"/>
        <color rgb="FF555555"/>
        <rFont val="Consolas"/>
        <family val="3"/>
      </rPr>
      <t xml:space="preserve"> </t>
    </r>
    <r>
      <rPr>
        <sz val="10"/>
        <color rgb="FF0D47A1"/>
        <rFont val="Consolas"/>
        <family val="3"/>
      </rPr>
      <t>None</t>
    </r>
  </si>
  <si>
    <r>
      <t>8. print</t>
    </r>
    <r>
      <rPr>
        <sz val="10"/>
        <color rgb="FF666600"/>
        <rFont val="Consolas"/>
        <family val="3"/>
      </rPr>
      <t>(</t>
    </r>
    <r>
      <rPr>
        <sz val="10"/>
        <color rgb="FF555555"/>
        <rFont val="Consolas"/>
        <family val="3"/>
      </rPr>
      <t>isEmail</t>
    </r>
    <r>
      <rPr>
        <sz val="10"/>
        <color rgb="FF666600"/>
        <rFont val="Consolas"/>
        <family val="3"/>
      </rPr>
      <t>);</t>
    </r>
  </si>
  <si>
    <t>Python の正規表現例</t>
  </si>
  <si>
    <t>Java</t>
  </si>
  <si>
    <r>
      <t>1. import</t>
    </r>
    <r>
      <rPr>
        <sz val="10"/>
        <color rgb="FF555555"/>
        <rFont val="Consolas"/>
        <family val="3"/>
      </rPr>
      <t xml:space="preserve"> java</t>
    </r>
    <r>
      <rPr>
        <sz val="10"/>
        <color rgb="FF666600"/>
        <rFont val="Consolas"/>
        <family val="3"/>
      </rPr>
      <t>.</t>
    </r>
    <r>
      <rPr>
        <sz val="10"/>
        <color rgb="FF555555"/>
        <rFont val="Consolas"/>
        <family val="3"/>
      </rPr>
      <t>util</t>
    </r>
    <r>
      <rPr>
        <sz val="10"/>
        <color rgb="FF666600"/>
        <rFont val="Consolas"/>
        <family val="3"/>
      </rPr>
      <t>.</t>
    </r>
    <r>
      <rPr>
        <sz val="10"/>
        <color rgb="FF555555"/>
        <rFont val="Consolas"/>
        <family val="3"/>
      </rPr>
      <t>regex</t>
    </r>
    <r>
      <rPr>
        <sz val="10"/>
        <color rgb="FF666600"/>
        <rFont val="Consolas"/>
        <family val="3"/>
      </rPr>
      <t>.</t>
    </r>
    <r>
      <rPr>
        <sz val="10"/>
        <color rgb="FF660066"/>
        <rFont val="Consolas"/>
        <family val="3"/>
      </rPr>
      <t>Matcher</t>
    </r>
    <r>
      <rPr>
        <sz val="10"/>
        <color rgb="FF666600"/>
        <rFont val="Consolas"/>
        <family val="3"/>
      </rPr>
      <t>;</t>
    </r>
  </si>
  <si>
    <r>
      <t>2. import</t>
    </r>
    <r>
      <rPr>
        <sz val="10"/>
        <color rgb="FF555555"/>
        <rFont val="Consolas"/>
        <family val="3"/>
      </rPr>
      <t xml:space="preserve"> java</t>
    </r>
    <r>
      <rPr>
        <sz val="10"/>
        <color rgb="FF666600"/>
        <rFont val="Consolas"/>
        <family val="3"/>
      </rPr>
      <t>.</t>
    </r>
    <r>
      <rPr>
        <sz val="10"/>
        <color rgb="FF555555"/>
        <rFont val="Consolas"/>
        <family val="3"/>
      </rPr>
      <t>util</t>
    </r>
    <r>
      <rPr>
        <sz val="10"/>
        <color rgb="FF666600"/>
        <rFont val="Consolas"/>
        <family val="3"/>
      </rPr>
      <t>.</t>
    </r>
    <r>
      <rPr>
        <sz val="10"/>
        <color rgb="FF555555"/>
        <rFont val="Consolas"/>
        <family val="3"/>
      </rPr>
      <t>regex</t>
    </r>
    <r>
      <rPr>
        <sz val="10"/>
        <color rgb="FF666600"/>
        <rFont val="Consolas"/>
        <family val="3"/>
      </rPr>
      <t>.</t>
    </r>
    <r>
      <rPr>
        <sz val="10"/>
        <color rgb="FF660066"/>
        <rFont val="Consolas"/>
        <family val="3"/>
      </rPr>
      <t>Pattern</t>
    </r>
    <r>
      <rPr>
        <sz val="10"/>
        <color rgb="FF666600"/>
        <rFont val="Consolas"/>
        <family val="3"/>
      </rPr>
      <t>;</t>
    </r>
  </si>
  <si>
    <r>
      <t>4. public</t>
    </r>
    <r>
      <rPr>
        <sz val="10"/>
        <color rgb="FF555555"/>
        <rFont val="Consolas"/>
        <family val="3"/>
      </rPr>
      <t xml:space="preserve"> </t>
    </r>
    <r>
      <rPr>
        <sz val="10"/>
        <color rgb="FF0D47A1"/>
        <rFont val="Consolas"/>
        <family val="3"/>
      </rPr>
      <t>class</t>
    </r>
    <r>
      <rPr>
        <sz val="10"/>
        <color rgb="FF555555"/>
        <rFont val="Consolas"/>
        <family val="3"/>
      </rPr>
      <t xml:space="preserve"> </t>
    </r>
    <r>
      <rPr>
        <sz val="10"/>
        <color rgb="FF660066"/>
        <rFont val="Consolas"/>
        <family val="3"/>
      </rPr>
      <t>Test</t>
    </r>
    <r>
      <rPr>
        <sz val="10"/>
        <color rgb="FF555555"/>
        <rFont val="Consolas"/>
        <family val="3"/>
      </rPr>
      <t xml:space="preserve"> </t>
    </r>
    <r>
      <rPr>
        <sz val="10"/>
        <color rgb="FF666600"/>
        <rFont val="Consolas"/>
        <family val="3"/>
      </rPr>
      <t>{</t>
    </r>
  </si>
  <si>
    <r>
      <t xml:space="preserve">5.     </t>
    </r>
    <r>
      <rPr>
        <sz val="10"/>
        <color rgb="FF0D47A1"/>
        <rFont val="Consolas"/>
        <family val="3"/>
      </rPr>
      <t>public</t>
    </r>
    <r>
      <rPr>
        <sz val="10"/>
        <color rgb="FF555555"/>
        <rFont val="Consolas"/>
        <family val="3"/>
      </rPr>
      <t xml:space="preserve"> </t>
    </r>
    <r>
      <rPr>
        <sz val="10"/>
        <color rgb="FF0D47A1"/>
        <rFont val="Consolas"/>
        <family val="3"/>
      </rPr>
      <t>static</t>
    </r>
    <r>
      <rPr>
        <sz val="10"/>
        <color rgb="FF555555"/>
        <rFont val="Consolas"/>
        <family val="3"/>
      </rPr>
      <t xml:space="preserve"> </t>
    </r>
    <r>
      <rPr>
        <sz val="10"/>
        <color rgb="FF0D47A1"/>
        <rFont val="Consolas"/>
        <family val="3"/>
      </rPr>
      <t>void</t>
    </r>
    <r>
      <rPr>
        <sz val="10"/>
        <color rgb="FF555555"/>
        <rFont val="Consolas"/>
        <family val="3"/>
      </rPr>
      <t xml:space="preserve"> main</t>
    </r>
    <r>
      <rPr>
        <sz val="10"/>
        <color rgb="FF666600"/>
        <rFont val="Consolas"/>
        <family val="3"/>
      </rPr>
      <t>(</t>
    </r>
    <r>
      <rPr>
        <sz val="10"/>
        <color rgb="FF660066"/>
        <rFont val="Consolas"/>
        <family val="3"/>
      </rPr>
      <t>String</t>
    </r>
    <r>
      <rPr>
        <sz val="10"/>
        <color rgb="FF666600"/>
        <rFont val="Consolas"/>
        <family val="3"/>
      </rPr>
      <t>[]</t>
    </r>
    <r>
      <rPr>
        <sz val="10"/>
        <color rgb="FF555555"/>
        <rFont val="Consolas"/>
        <family val="3"/>
      </rPr>
      <t xml:space="preserve"> args</t>
    </r>
    <r>
      <rPr>
        <sz val="10"/>
        <color rgb="FF666600"/>
        <rFont val="Consolas"/>
        <family val="3"/>
      </rPr>
      <t>)</t>
    </r>
    <r>
      <rPr>
        <sz val="10"/>
        <color rgb="FF555555"/>
        <rFont val="Consolas"/>
        <family val="3"/>
      </rPr>
      <t xml:space="preserve"> </t>
    </r>
    <r>
      <rPr>
        <sz val="10"/>
        <color rgb="FF666600"/>
        <rFont val="Consolas"/>
        <family val="3"/>
      </rPr>
      <t>{</t>
    </r>
  </si>
  <si>
    <r>
      <t xml:space="preserve">6.         </t>
    </r>
    <r>
      <rPr>
        <sz val="10"/>
        <color rgb="FF660066"/>
        <rFont val="Consolas"/>
        <family val="3"/>
      </rPr>
      <t>String</t>
    </r>
    <r>
      <rPr>
        <sz val="10"/>
        <color rgb="FF555555"/>
        <rFont val="Consolas"/>
        <family val="3"/>
      </rPr>
      <t xml:space="preserve"> regex </t>
    </r>
    <r>
      <rPr>
        <sz val="10"/>
        <color rgb="FF666600"/>
        <rFont val="Consolas"/>
        <family val="3"/>
      </rPr>
      <t>=</t>
    </r>
    <r>
      <rPr>
        <sz val="10"/>
        <color rgb="FF555555"/>
        <rFont val="Consolas"/>
        <family val="3"/>
      </rPr>
      <t xml:space="preserve"> </t>
    </r>
    <r>
      <rPr>
        <sz val="10"/>
        <color rgb="FFB71C1C"/>
        <rFont val="Consolas"/>
        <family val="3"/>
      </rPr>
      <t>"^\\w+([-+.]\\w+)*@\\w+([-.]\\w+)*\\.\\w+([-.]\\w+)*$"</t>
    </r>
    <r>
      <rPr>
        <sz val="10"/>
        <color rgb="FF666600"/>
        <rFont val="Consolas"/>
        <family val="3"/>
      </rPr>
      <t>;</t>
    </r>
  </si>
  <si>
    <r>
      <t xml:space="preserve">7.         </t>
    </r>
    <r>
      <rPr>
        <sz val="10"/>
        <color rgb="FF660066"/>
        <rFont val="Consolas"/>
        <family val="3"/>
      </rPr>
      <t>String</t>
    </r>
    <r>
      <rPr>
        <sz val="10"/>
        <color rgb="FF555555"/>
        <rFont val="Consolas"/>
        <family val="3"/>
      </rPr>
      <t xml:space="preserve"> email </t>
    </r>
    <r>
      <rPr>
        <sz val="10"/>
        <color rgb="FF666600"/>
        <rFont val="Consolas"/>
        <family val="3"/>
      </rPr>
      <t>=</t>
    </r>
    <r>
      <rPr>
        <sz val="10"/>
        <color rgb="FF555555"/>
        <rFont val="Consolas"/>
        <family val="3"/>
      </rPr>
      <t xml:space="preserve"> </t>
    </r>
    <r>
      <rPr>
        <sz val="10"/>
        <color rgb="FFB71C1C"/>
        <rFont val="Consolas"/>
        <family val="3"/>
      </rPr>
      <t>"murashun@gmail.com"</t>
    </r>
    <r>
      <rPr>
        <sz val="10"/>
        <color rgb="FF666600"/>
        <rFont val="Consolas"/>
        <family val="3"/>
      </rPr>
      <t>;</t>
    </r>
  </si>
  <si>
    <r>
      <t xml:space="preserve">8.         </t>
    </r>
    <r>
      <rPr>
        <sz val="10"/>
        <color rgb="FF660066"/>
        <rFont val="Consolas"/>
        <family val="3"/>
      </rPr>
      <t>Pattern</t>
    </r>
    <r>
      <rPr>
        <sz val="10"/>
        <color rgb="FF555555"/>
        <rFont val="Consolas"/>
        <family val="3"/>
      </rPr>
      <t xml:space="preserve"> pattern </t>
    </r>
    <r>
      <rPr>
        <sz val="10"/>
        <color rgb="FF666600"/>
        <rFont val="Consolas"/>
        <family val="3"/>
      </rPr>
      <t>=</t>
    </r>
    <r>
      <rPr>
        <sz val="10"/>
        <color rgb="FF555555"/>
        <rFont val="Consolas"/>
        <family val="3"/>
      </rPr>
      <t xml:space="preserve"> </t>
    </r>
    <r>
      <rPr>
        <sz val="10"/>
        <color rgb="FF660066"/>
        <rFont val="Consolas"/>
        <family val="3"/>
      </rPr>
      <t>Pattern</t>
    </r>
    <r>
      <rPr>
        <sz val="10"/>
        <color rgb="FF666600"/>
        <rFont val="Consolas"/>
        <family val="3"/>
      </rPr>
      <t>.</t>
    </r>
    <r>
      <rPr>
        <sz val="10"/>
        <color rgb="FF555555"/>
        <rFont val="Consolas"/>
        <family val="3"/>
      </rPr>
      <t>compile</t>
    </r>
    <r>
      <rPr>
        <sz val="10"/>
        <color rgb="FF666600"/>
        <rFont val="Consolas"/>
        <family val="3"/>
      </rPr>
      <t>(</t>
    </r>
    <r>
      <rPr>
        <sz val="10"/>
        <color rgb="FF555555"/>
        <rFont val="Consolas"/>
        <family val="3"/>
      </rPr>
      <t>regex</t>
    </r>
    <r>
      <rPr>
        <sz val="10"/>
        <color rgb="FF666600"/>
        <rFont val="Consolas"/>
        <family val="3"/>
      </rPr>
      <t>);</t>
    </r>
  </si>
  <si>
    <r>
      <t xml:space="preserve">9.         </t>
    </r>
    <r>
      <rPr>
        <sz val="10"/>
        <color rgb="FF660066"/>
        <rFont val="Consolas"/>
        <family val="3"/>
      </rPr>
      <t>Matcher</t>
    </r>
    <r>
      <rPr>
        <sz val="10"/>
        <color rgb="FF555555"/>
        <rFont val="Consolas"/>
        <family val="3"/>
      </rPr>
      <t xml:space="preserve"> matcher </t>
    </r>
    <r>
      <rPr>
        <sz val="10"/>
        <color rgb="FF666600"/>
        <rFont val="Consolas"/>
        <family val="3"/>
      </rPr>
      <t>=</t>
    </r>
    <r>
      <rPr>
        <sz val="10"/>
        <color rgb="FF555555"/>
        <rFont val="Consolas"/>
        <family val="3"/>
      </rPr>
      <t xml:space="preserve"> pattern</t>
    </r>
    <r>
      <rPr>
        <sz val="10"/>
        <color rgb="FF666600"/>
        <rFont val="Consolas"/>
        <family val="3"/>
      </rPr>
      <t>.</t>
    </r>
    <r>
      <rPr>
        <sz val="10"/>
        <color rgb="FF555555"/>
        <rFont val="Consolas"/>
        <family val="3"/>
      </rPr>
      <t>matcher</t>
    </r>
    <r>
      <rPr>
        <sz val="10"/>
        <color rgb="FF666600"/>
        <rFont val="Consolas"/>
        <family val="3"/>
      </rPr>
      <t>(</t>
    </r>
    <r>
      <rPr>
        <sz val="10"/>
        <color rgb="FF555555"/>
        <rFont val="Consolas"/>
        <family val="3"/>
      </rPr>
      <t>email</t>
    </r>
    <r>
      <rPr>
        <sz val="10"/>
        <color rgb="FF666600"/>
        <rFont val="Consolas"/>
        <family val="3"/>
      </rPr>
      <t>);</t>
    </r>
  </si>
  <si>
    <r>
      <t xml:space="preserve">10.         </t>
    </r>
    <r>
      <rPr>
        <sz val="10"/>
        <color rgb="FF660066"/>
        <rFont val="Consolas"/>
        <family val="3"/>
      </rPr>
      <t>Boolean</t>
    </r>
    <r>
      <rPr>
        <sz val="10"/>
        <color rgb="FF555555"/>
        <rFont val="Consolas"/>
        <family val="3"/>
      </rPr>
      <t xml:space="preserve"> isEmail </t>
    </r>
    <r>
      <rPr>
        <sz val="10"/>
        <color rgb="FF666600"/>
        <rFont val="Consolas"/>
        <family val="3"/>
      </rPr>
      <t>=</t>
    </r>
    <r>
      <rPr>
        <sz val="10"/>
        <color rgb="FF555555"/>
        <rFont val="Consolas"/>
        <family val="3"/>
      </rPr>
      <t xml:space="preserve"> matcher</t>
    </r>
    <r>
      <rPr>
        <sz val="10"/>
        <color rgb="FF666600"/>
        <rFont val="Consolas"/>
        <family val="3"/>
      </rPr>
      <t>.</t>
    </r>
    <r>
      <rPr>
        <sz val="10"/>
        <color rgb="FF555555"/>
        <rFont val="Consolas"/>
        <family val="3"/>
      </rPr>
      <t>matches</t>
    </r>
    <r>
      <rPr>
        <sz val="10"/>
        <color rgb="FF666600"/>
        <rFont val="Consolas"/>
        <family val="3"/>
      </rPr>
      <t>();</t>
    </r>
  </si>
  <si>
    <r>
      <t xml:space="preserve">12.         </t>
    </r>
    <r>
      <rPr>
        <sz val="10"/>
        <color rgb="FF660066"/>
        <rFont val="Consolas"/>
        <family val="3"/>
      </rPr>
      <t>System</t>
    </r>
    <r>
      <rPr>
        <sz val="10"/>
        <color rgb="FF666600"/>
        <rFont val="Consolas"/>
        <family val="3"/>
      </rPr>
      <t>.</t>
    </r>
    <r>
      <rPr>
        <sz val="10"/>
        <color rgb="FF0D47A1"/>
        <rFont val="Consolas"/>
        <family val="3"/>
      </rPr>
      <t>out</t>
    </r>
    <r>
      <rPr>
        <sz val="10"/>
        <color rgb="FF666600"/>
        <rFont val="Consolas"/>
        <family val="3"/>
      </rPr>
      <t>.</t>
    </r>
    <r>
      <rPr>
        <sz val="10"/>
        <color rgb="FF555555"/>
        <rFont val="Consolas"/>
        <family val="3"/>
      </rPr>
      <t>println</t>
    </r>
    <r>
      <rPr>
        <sz val="10"/>
        <color rgb="FF666600"/>
        <rFont val="Consolas"/>
        <family val="3"/>
      </rPr>
      <t>(</t>
    </r>
    <r>
      <rPr>
        <sz val="10"/>
        <color rgb="FF555555"/>
        <rFont val="Consolas"/>
        <family val="3"/>
      </rPr>
      <t>isEmail</t>
    </r>
    <r>
      <rPr>
        <sz val="10"/>
        <color rgb="FF666600"/>
        <rFont val="Consolas"/>
        <family val="3"/>
      </rPr>
      <t>);</t>
    </r>
  </si>
  <si>
    <r>
      <t xml:space="preserve">13.     </t>
    </r>
    <r>
      <rPr>
        <sz val="10"/>
        <color rgb="FF666600"/>
        <rFont val="Consolas"/>
        <family val="3"/>
      </rPr>
      <t>}</t>
    </r>
  </si>
  <si>
    <t>14. }</t>
  </si>
  <si>
    <t>Java の正規表現例</t>
  </si>
  <si>
    <t>Ruby</t>
  </si>
  <si>
    <t>1. #!/usr/bin/env ruby</t>
  </si>
  <si>
    <r>
      <t xml:space="preserve">3. rep </t>
    </r>
    <r>
      <rPr>
        <sz val="10"/>
        <color rgb="FF666600"/>
        <rFont val="Consolas"/>
        <family val="3"/>
      </rPr>
      <t>=</t>
    </r>
    <r>
      <rPr>
        <sz val="10"/>
        <color rgb="FF555555"/>
        <rFont val="Consolas"/>
        <family val="3"/>
      </rPr>
      <t xml:space="preserve"> </t>
    </r>
    <r>
      <rPr>
        <sz val="10"/>
        <color rgb="FFB71C1C"/>
        <rFont val="Consolas"/>
        <family val="3"/>
      </rPr>
      <t>/\w+([-+.]\w+)*@\w+([-.]\w+)*\.\w+([-.]\w+)*/</t>
    </r>
  </si>
  <si>
    <r>
      <t xml:space="preserve">4. isEmail </t>
    </r>
    <r>
      <rPr>
        <sz val="10"/>
        <color rgb="FF666600"/>
        <rFont val="Consolas"/>
        <family val="3"/>
      </rPr>
      <t>=</t>
    </r>
    <r>
      <rPr>
        <sz val="10"/>
        <color rgb="FF555555"/>
        <rFont val="Consolas"/>
        <family val="3"/>
      </rPr>
      <t xml:space="preserve"> rep </t>
    </r>
    <r>
      <rPr>
        <sz val="10"/>
        <color rgb="FF666600"/>
        <rFont val="Consolas"/>
        <family val="3"/>
      </rPr>
      <t>=~</t>
    </r>
    <r>
      <rPr>
        <sz val="10"/>
        <color rgb="FF555555"/>
        <rFont val="Consolas"/>
        <family val="3"/>
      </rPr>
      <t xml:space="preserve"> </t>
    </r>
    <r>
      <rPr>
        <sz val="10"/>
        <color rgb="FFB71C1C"/>
        <rFont val="Consolas"/>
        <family val="3"/>
      </rPr>
      <t>"murashun@gmail.com"</t>
    </r>
  </si>
  <si>
    <t>5. puts isEmail</t>
  </si>
  <si>
    <t>Ruby の正規表現例</t>
  </si>
  <si>
    <t>Perl</t>
  </si>
  <si>
    <t>1. #!/usr/bin/env perl</t>
  </si>
  <si>
    <r>
      <t xml:space="preserve">3. $rep </t>
    </r>
    <r>
      <rPr>
        <sz val="10"/>
        <color rgb="FF666600"/>
        <rFont val="Consolas"/>
        <family val="3"/>
      </rPr>
      <t>=</t>
    </r>
    <r>
      <rPr>
        <sz val="10"/>
        <color rgb="FF555555"/>
        <rFont val="Consolas"/>
        <family val="3"/>
      </rPr>
      <t xml:space="preserve"> </t>
    </r>
    <r>
      <rPr>
        <sz val="10"/>
        <color rgb="FFB71C1C"/>
        <rFont val="Consolas"/>
        <family val="3"/>
      </rPr>
      <t>'^\w+([-+.]\w+)*@\w+([-.]\w+)*\.\w+([-.]\w+)*$'</t>
    </r>
    <r>
      <rPr>
        <sz val="10"/>
        <color rgb="FF666600"/>
        <rFont val="Consolas"/>
        <family val="3"/>
      </rPr>
      <t>;</t>
    </r>
  </si>
  <si>
    <r>
      <t xml:space="preserve">4. $email </t>
    </r>
    <r>
      <rPr>
        <sz val="10"/>
        <color rgb="FF666600"/>
        <rFont val="Consolas"/>
        <family val="3"/>
      </rPr>
      <t>=</t>
    </r>
    <r>
      <rPr>
        <sz val="10"/>
        <color rgb="FF555555"/>
        <rFont val="Consolas"/>
        <family val="3"/>
      </rPr>
      <t xml:space="preserve"> </t>
    </r>
    <r>
      <rPr>
        <sz val="10"/>
        <color rgb="FFB71C1C"/>
        <rFont val="Consolas"/>
        <family val="3"/>
      </rPr>
      <t>'murashun@gmail.com'</t>
    </r>
    <r>
      <rPr>
        <sz val="10"/>
        <color rgb="FF666600"/>
        <rFont val="Consolas"/>
        <family val="3"/>
      </rPr>
      <t>;</t>
    </r>
  </si>
  <si>
    <r>
      <t>5. if</t>
    </r>
    <r>
      <rPr>
        <sz val="10"/>
        <color rgb="FF555555"/>
        <rFont val="Consolas"/>
        <family val="3"/>
      </rPr>
      <t xml:space="preserve"> </t>
    </r>
    <r>
      <rPr>
        <sz val="10"/>
        <color rgb="FF666600"/>
        <rFont val="Consolas"/>
        <family val="3"/>
      </rPr>
      <t>(</t>
    </r>
    <r>
      <rPr>
        <sz val="10"/>
        <color rgb="FF555555"/>
        <rFont val="Consolas"/>
        <family val="3"/>
      </rPr>
      <t xml:space="preserve">$email </t>
    </r>
    <r>
      <rPr>
        <sz val="10"/>
        <color rgb="FF666600"/>
        <rFont val="Consolas"/>
        <family val="3"/>
      </rPr>
      <t>=~</t>
    </r>
    <r>
      <rPr>
        <sz val="10"/>
        <color rgb="FF555555"/>
        <rFont val="Consolas"/>
        <family val="3"/>
      </rPr>
      <t xml:space="preserve"> </t>
    </r>
    <r>
      <rPr>
        <sz val="10"/>
        <color rgb="FF666600"/>
        <rFont val="Consolas"/>
        <family val="3"/>
      </rPr>
      <t>/</t>
    </r>
    <r>
      <rPr>
        <sz val="10"/>
        <color rgb="FF555555"/>
        <rFont val="Consolas"/>
        <family val="3"/>
      </rPr>
      <t>$rep</t>
    </r>
    <r>
      <rPr>
        <sz val="10"/>
        <color rgb="FF666600"/>
        <rFont val="Consolas"/>
        <family val="3"/>
      </rPr>
      <t>/)</t>
    </r>
    <r>
      <rPr>
        <sz val="10"/>
        <color rgb="FF555555"/>
        <rFont val="Consolas"/>
        <family val="3"/>
      </rPr>
      <t xml:space="preserve"> </t>
    </r>
    <r>
      <rPr>
        <sz val="10"/>
        <color rgb="FF666600"/>
        <rFont val="Consolas"/>
        <family val="3"/>
      </rPr>
      <t>{</t>
    </r>
  </si>
  <si>
    <r>
      <t xml:space="preserve">6.     </t>
    </r>
    <r>
      <rPr>
        <sz val="10"/>
        <color rgb="FF0D47A1"/>
        <rFont val="Consolas"/>
        <family val="3"/>
      </rPr>
      <t>print</t>
    </r>
    <r>
      <rPr>
        <sz val="10"/>
        <color rgb="FF555555"/>
        <rFont val="Consolas"/>
        <family val="3"/>
      </rPr>
      <t xml:space="preserve"> </t>
    </r>
    <r>
      <rPr>
        <sz val="10"/>
        <color rgb="FFB71C1C"/>
        <rFont val="Consolas"/>
        <family val="3"/>
      </rPr>
      <t>"valid"</t>
    </r>
    <r>
      <rPr>
        <sz val="10"/>
        <color rgb="FF666600"/>
        <rFont val="Consolas"/>
        <family val="3"/>
      </rPr>
      <t>;</t>
    </r>
  </si>
  <si>
    <r>
      <t>7. }</t>
    </r>
    <r>
      <rPr>
        <sz val="10"/>
        <color rgb="FF555555"/>
        <rFont val="Consolas"/>
        <family val="3"/>
      </rPr>
      <t xml:space="preserve"> </t>
    </r>
    <r>
      <rPr>
        <sz val="10"/>
        <color rgb="FF0D47A1"/>
        <rFont val="Consolas"/>
        <family val="3"/>
      </rPr>
      <t>else</t>
    </r>
    <r>
      <rPr>
        <sz val="10"/>
        <color rgb="FF555555"/>
        <rFont val="Consolas"/>
        <family val="3"/>
      </rPr>
      <t xml:space="preserve"> </t>
    </r>
    <r>
      <rPr>
        <sz val="10"/>
        <color rgb="FF666600"/>
        <rFont val="Consolas"/>
        <family val="3"/>
      </rPr>
      <t>{</t>
    </r>
  </si>
  <si>
    <r>
      <t xml:space="preserve">8.     </t>
    </r>
    <r>
      <rPr>
        <sz val="10"/>
        <color rgb="FF0D47A1"/>
        <rFont val="Consolas"/>
        <family val="3"/>
      </rPr>
      <t>print</t>
    </r>
    <r>
      <rPr>
        <sz val="10"/>
        <color rgb="FF555555"/>
        <rFont val="Consolas"/>
        <family val="3"/>
      </rPr>
      <t xml:space="preserve"> </t>
    </r>
    <r>
      <rPr>
        <sz val="10"/>
        <color rgb="FFB71C1C"/>
        <rFont val="Consolas"/>
        <family val="3"/>
      </rPr>
      <t>"invalid"</t>
    </r>
    <r>
      <rPr>
        <sz val="10"/>
        <color rgb="FF666600"/>
        <rFont val="Consolas"/>
        <family val="3"/>
      </rPr>
      <t>;</t>
    </r>
  </si>
  <si>
    <t>9. }</t>
  </si>
  <si>
    <t>Perl の正規表現例</t>
  </si>
  <si>
    <t>修飾子一覧</t>
  </si>
  <si>
    <t>/i</t>
  </si>
  <si>
    <t>大文字と小文字を区別しません。</t>
  </si>
  <si>
    <t>/o</t>
  </si>
  <si>
    <t>式の展開 (正規表現のコンパイル) を一度だけ行います。</t>
  </si>
  <si>
    <t>/x</t>
  </si>
  <si>
    <t>パターンの空白やコメントを無視します。</t>
  </si>
  <si>
    <t>/m</t>
  </si>
  <si>
    <r>
      <t>対象の文字列を複数行として扱います。</t>
    </r>
    <r>
      <rPr>
        <sz val="10"/>
        <color theme="1"/>
        <rFont val="Consolas"/>
        <family val="3"/>
      </rPr>
      <t>.</t>
    </r>
    <r>
      <rPr>
        <sz val="11"/>
        <color theme="1"/>
        <rFont val="ＭＳ Ｐゴシック"/>
        <family val="2"/>
        <charset val="128"/>
      </rPr>
      <t> が改行にもマッチします。</t>
    </r>
  </si>
  <si>
    <t>/g</t>
  </si>
  <si>
    <t>繰り返しマッチを行います。</t>
  </si>
  <si>
    <t>/e</t>
  </si>
  <si>
    <t>置換を行った結果を式として処理します。</t>
  </si>
  <si>
    <t>まとめ</t>
  </si>
  <si>
    <t>正規表現についてのチートシートです。正規表現の書き方を忘れた場合にご活用ください。</t>
  </si>
  <si>
    <t>関連記事</t>
  </si>
  <si>
    <t>Java 入門</t>
  </si>
  <si>
    <t>EXCEL VBA 入門</t>
  </si>
  <si>
    <t>HTML &amp; CSS 入門</t>
  </si>
  <si>
    <t>Python 入門</t>
  </si>
  <si>
    <t>JavaScript 入門</t>
  </si>
  <si>
    <t>murashun.jp</t>
  </si>
  <si>
    <t>© murashun 2014 - 2020</t>
  </si>
  <si>
    <t>このサイトについて</t>
  </si>
  <si>
    <t>murashun@gmail.com</t>
  </si>
  <si>
    <t>@murashun</t>
  </si>
  <si>
    <t>ご質問</t>
  </si>
  <si>
    <t>ご支援</t>
  </si>
  <si>
    <t>.</t>
    <phoneticPr fontId="1"/>
  </si>
  <si>
    <t>abc</t>
    <phoneticPr fontId="1"/>
  </si>
  <si>
    <t>あいうあいう</t>
    <phoneticPr fontId="1"/>
  </si>
  <si>
    <t>あ+</t>
    <phoneticPr fontId="1"/>
  </si>
  <si>
    <t>あ*</t>
    <phoneticPr fontId="1"/>
  </si>
  <si>
    <t>あ?</t>
    <phoneticPr fontId="1"/>
  </si>
  <si>
    <t>あ+?</t>
    <phoneticPr fontId="1"/>
  </si>
  <si>
    <t>あ*?</t>
    <phoneticPr fontId="1"/>
  </si>
  <si>
    <t>あ??</t>
    <phoneticPr fontId="1"/>
  </si>
  <si>
    <t>(あ|い)</t>
    <phoneticPr fontId="1"/>
  </si>
  <si>
    <t>『.』任意の１文字</t>
    <phoneticPr fontId="1"/>
  </si>
  <si>
    <t>『\』直後の記号を エスケープ </t>
    <phoneticPr fontId="1"/>
  </si>
  <si>
    <t>123</t>
    <phoneticPr fontId="1"/>
  </si>
  <si>
    <t>あ{3}</t>
    <phoneticPr fontId="1"/>
  </si>
  <si>
    <t>[複数の文字]いずれか、-範囲、(文字列)グループ化、【文字】{最低桁数,最長桁数}繰り返し</t>
    <rPh sb="1" eb="3">
      <t>フクスウ</t>
    </rPh>
    <rPh sb="4" eb="6">
      <t>モジ</t>
    </rPh>
    <rPh sb="17" eb="20">
      <t>モジレツ</t>
    </rPh>
    <rPh sb="28" eb="30">
      <t>モジ</t>
    </rPh>
    <rPh sb="32" eb="34">
      <t>サイテイ</t>
    </rPh>
    <rPh sb="34" eb="36">
      <t>ケタスウ</t>
    </rPh>
    <rPh sb="37" eb="39">
      <t>サイチョウ</t>
    </rPh>
    <rPh sb="39" eb="41">
      <t>ケタスウ</t>
    </rPh>
    <phoneticPr fontId="1"/>
  </si>
  <si>
    <t>あいああいあああいああああい</t>
    <phoneticPr fontId="1"/>
  </si>
  <si>
    <t>あ{3,}</t>
    <phoneticPr fontId="1"/>
  </si>
  <si>
    <t>『s{n}』sをn回繰り返し</t>
    <rPh sb="9" eb="10">
      <t>カイ</t>
    </rPh>
    <rPh sb="10" eb="11">
      <t>ク</t>
    </rPh>
    <rPh sb="12" eb="13">
      <t>カエ</t>
    </rPh>
    <phoneticPr fontId="1"/>
  </si>
  <si>
    <t>『s{n,}』sをn回以上繰り返し</t>
    <rPh sb="10" eb="11">
      <t>カイ</t>
    </rPh>
    <rPh sb="11" eb="13">
      <t>イジョウ</t>
    </rPh>
    <rPh sb="13" eb="14">
      <t>ク</t>
    </rPh>
    <rPh sb="15" eb="16">
      <t>カエ</t>
    </rPh>
    <phoneticPr fontId="1"/>
  </si>
  <si>
    <t>あ{2,3}</t>
    <phoneticPr fontId="1"/>
  </si>
  <si>
    <t>あ{2,3}?</t>
    <phoneticPr fontId="1"/>
  </si>
  <si>
    <t>『s{n,m}』sをn回～m回繰り返し（最長一致）</t>
    <rPh sb="11" eb="12">
      <t>カイ</t>
    </rPh>
    <rPh sb="14" eb="15">
      <t>カイ</t>
    </rPh>
    <rPh sb="15" eb="16">
      <t>ク</t>
    </rPh>
    <rPh sb="17" eb="18">
      <t>カエ</t>
    </rPh>
    <phoneticPr fontId="1"/>
  </si>
  <si>
    <t>『s{n,m}』sをn回～m回繰り返し（最短一致）</t>
    <rPh sb="11" eb="12">
      <t>カイ</t>
    </rPh>
    <rPh sb="14" eb="15">
      <t>カイ</t>
    </rPh>
    <rPh sb="15" eb="16">
      <t>ク</t>
    </rPh>
    <rPh sb="17" eb="18">
      <t>カエ</t>
    </rPh>
    <rPh sb="20" eb="22">
      <t>サイタン</t>
    </rPh>
    <phoneticPr fontId="1"/>
  </si>
  <si>
    <t>『s+』sを１回以上（最長一致）</t>
    <rPh sb="11" eb="13">
      <t>サイチョウ</t>
    </rPh>
    <phoneticPr fontId="1"/>
  </si>
  <si>
    <t>『s*』sを０回以上（最長一致）</t>
    <phoneticPr fontId="1"/>
  </si>
  <si>
    <t>『s?』sを０回か１回（最長一致）</t>
    <rPh sb="7" eb="8">
      <t>カイ</t>
    </rPh>
    <rPh sb="10" eb="11">
      <t>カイ</t>
    </rPh>
    <phoneticPr fontId="1"/>
  </si>
  <si>
    <t>『s+?』sを１回以上（最短一致）</t>
    <rPh sb="12" eb="14">
      <t>サイタン</t>
    </rPh>
    <rPh sb="14" eb="16">
      <t>イッチ</t>
    </rPh>
    <phoneticPr fontId="1"/>
  </si>
  <si>
    <t>『s*?』sを０回以上（最短一致）</t>
    <phoneticPr fontId="1"/>
  </si>
  <si>
    <t>『s??』sを０個か１個（最短一致）</t>
    <rPh sb="8" eb="9">
      <t>コ</t>
    </rPh>
    <phoneticPr fontId="1"/>
  </si>
  <si>
    <t>『s1|s2』s1かs2のいずれか</t>
    <phoneticPr fontId="1"/>
  </si>
  <si>
    <t>『[s1s2s3]』s1かs2かs3のいずれか</t>
    <phoneticPr fontId="1"/>
  </si>
  <si>
    <t>あいうかきくさしす</t>
    <phoneticPr fontId="1"/>
  </si>
  <si>
    <t>[いきし]</t>
    <phoneticPr fontId="1"/>
  </si>
  <si>
    <t>[^いきし]</t>
    <phoneticPr fontId="1"/>
  </si>
  <si>
    <t>『[^s1s2s3]』s1かs2かs3いずれでもない</t>
    <phoneticPr fontId="1"/>
  </si>
  <si>
    <t>(かきく)</t>
    <phoneticPr fontId="1"/>
  </si>
  <si>
    <t>『(s1s2s3)』s1s2s3をグループ化</t>
    <rPh sb="21" eb="22">
      <t>カ</t>
    </rPh>
    <phoneticPr fontId="1"/>
  </si>
  <si>
    <t>列1</t>
  </si>
  <si>
    <t>対応する表現2</t>
  </si>
  <si>
    <t>https://murashun.jp/blog/20190215-01.html</t>
    <phoneticPr fontId="1"/>
  </si>
  <si>
    <t>AAAAA BB001 AA202 jk345 abcde i030k X12345</t>
    <phoneticPr fontId="1"/>
  </si>
  <si>
    <t>「アルファベット大文字のグループ」「数値のグループ」</t>
    <phoneticPr fontId="1"/>
  </si>
  <si>
    <t>([A-Z]+)([0-9]+)</t>
    <phoneticPr fontId="1"/>
  </si>
  <si>
    <t>文字列</t>
    <rPh sb="0" eb="3">
      <t>モジレツ</t>
    </rPh>
    <phoneticPr fontId="1"/>
  </si>
  <si>
    <t>パターン</t>
    <phoneticPr fontId="1"/>
  </si>
  <si>
    <t>Matches1</t>
  </si>
  <si>
    <t>Group1</t>
    <phoneticPr fontId="1"/>
  </si>
  <si>
    <t>Group2</t>
  </si>
  <si>
    <t>Group3</t>
  </si>
  <si>
    <t>Group4</t>
  </si>
  <si>
    <t>Group5</t>
  </si>
  <si>
    <t>a1bc2!3de"f456g</t>
    <phoneticPr fontId="1"/>
  </si>
  <si>
    <t xml:space="preserve">
</t>
    <phoneticPr fontId="1"/>
  </si>
  <si>
    <t>asd</t>
    <phoneticPr fontId="1"/>
  </si>
  <si>
    <t>asd fgh</t>
    <phoneticPr fontId="1"/>
  </si>
  <si>
    <t>asd123!"#</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</si>
</sst>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6" formatCode="&quot;¥&quot;#,##0_);[Red]\(&quot;¥&quot;#,##0\)"/>
  </numFmts>
  <fonts count="22">
    <font>
      <sz val="11"/>
      <color theme="1"/>
      <name val="ＭＳ Ｐゴシック"/>
      <family val="2"/>
      <charset val="128"/>
    </font>
    <font>
      <sz val="6"/>
      <name val="ＭＳ Ｐゴシック"/>
      <family val="2"/>
      <charset val="128"/>
    </font>
    <font>
      <u/>
      <sz val="11"/>
      <color theme="10"/>
      <name val="ＭＳ Ｐゴシック"/>
      <family val="2"/>
      <charset val="128"/>
    </font>
    <font>
      <sz val="11"/>
      <color theme="1"/>
      <name val="ＭＳ Ｐゴシック"/>
      <family val="2"/>
      <charset val="128"/>
      <scheme val="minor"/>
    </font>
    <font>
      <sz val="6"/>
      <name val="ＭＳ Ｐゴシック"/>
      <family val="2"/>
      <charset val="128"/>
      <scheme val="minor"/>
    </font>
    <font>
      <sz val="11"/>
      <name val="ＭＳ Ｐゴシック"/>
      <family val="3"/>
      <charset val="128"/>
    </font>
    <font>
      <b/>
      <sz val="19.25"/>
      <color rgb="FF111111"/>
      <name val="游明朝"/>
      <family val="1"/>
      <charset val="128"/>
    </font>
    <font>
      <sz val="11"/>
      <color theme="1"/>
      <name val="ＭＳ Ｐゴシック"/>
      <family val="3"/>
      <charset val="128"/>
    </font>
    <font>
      <sz val="10"/>
      <color theme="1"/>
      <name val="Consolas"/>
      <family val="3"/>
    </font>
    <font>
      <b/>
      <sz val="11"/>
      <color theme="1"/>
      <name val="ＭＳ Ｐゴシック"/>
      <family val="3"/>
      <charset val="128"/>
    </font>
    <font>
      <sz val="10"/>
      <color rgb="FF555555"/>
      <name val="Consolas"/>
      <family val="3"/>
    </font>
    <font>
      <sz val="10"/>
      <color rgb="FF666600"/>
      <name val="Consolas"/>
      <family val="3"/>
    </font>
    <font>
      <sz val="10"/>
      <color rgb="FF006666"/>
      <name val="Consolas"/>
      <family val="3"/>
    </font>
    <font>
      <sz val="10"/>
      <color rgb="FF660066"/>
      <name val="Consolas"/>
      <family val="3"/>
    </font>
    <font>
      <sz val="10"/>
      <color rgb="FF0D47A1"/>
      <name val="Consolas"/>
      <family val="3"/>
    </font>
    <font>
      <sz val="10"/>
      <color rgb="FFB71C1C"/>
      <name val="Consolas"/>
      <family val="3"/>
    </font>
    <font>
      <sz val="11"/>
      <color rgb="FF555555"/>
      <name val="ＭＳ Ｐゴシック"/>
      <family val="3"/>
      <charset val="128"/>
    </font>
    <font>
      <sz val="10"/>
      <color rgb="FF004D40"/>
      <name val="Consolas"/>
      <family val="3"/>
    </font>
    <font>
      <b/>
      <sz val="10"/>
      <color theme="1"/>
      <name val="Consolas"/>
      <family val="3"/>
    </font>
    <font>
      <sz val="14"/>
      <color rgb="FF666666"/>
      <name val="ＭＳ Ｐゴシック"/>
      <family val="3"/>
      <charset val="128"/>
    </font>
    <font>
      <sz val="11"/>
      <color rgb="FF666666"/>
      <name val="ＭＳ Ｐゴシック"/>
      <family val="3"/>
      <charset val="128"/>
    </font>
    <font>
      <sz val="7.5"/>
      <color rgb="FF666666"/>
      <name val="ＭＳ Ｐゴシック"/>
      <family val="3"/>
      <charset val="128"/>
    </font>
  </fonts>
  <fills count="5">
    <fill>
      <patternFill patternType="none"/>
    </fill>
    <fill>
      <patternFill patternType="gray125"/>
    </fill>
    <fill>
      <patternFill patternType="solid">
        <fgColor rgb="FFF9F9F9"/>
        <bgColor indexed="64"/>
      </patternFill>
    </fill>
    <fill>
      <patternFill patternType="solid">
        <fgColor theme="6" tint="0.79998168889431442"/>
        <bgColor indexed="64"/>
      </patternFill>
    </fill>
    <fill>
      <patternFill patternType="solid">
        <fgColor theme="8" tint="0.79998168889431442"/>
        <bgColor indexed="64"/>
      </patternFill>
    </fill>
  </fills>
  <borders count="24">
    <border>
      <left/>
      <right/>
      <top/>
      <bottom/>
      <diagonal/>
    </border>
    <border>
      <left style="medium">
        <color rgb="FFE5E5E5"/>
      </left>
      <right style="medium">
        <color rgb="FFE5E5E5"/>
      </right>
      <top style="medium">
        <color rgb="FFE5E5E5"/>
      </top>
      <bottom style="medium">
        <color rgb="FFE5E5E5"/>
      </bottom>
      <diagonal/>
    </border>
    <border>
      <left style="medium">
        <color rgb="FFE5E5E5"/>
      </left>
      <right style="medium">
        <color rgb="FFE5E5E5"/>
      </right>
      <top style="medium">
        <color rgb="FFE5E5E5"/>
      </top>
      <bottom/>
      <diagonal/>
    </border>
    <border>
      <left style="medium">
        <color rgb="FFE5E5E5"/>
      </left>
      <right style="medium">
        <color rgb="FFE5E5E5"/>
      </right>
      <top/>
      <bottom style="medium">
        <color rgb="FFE5E5E5"/>
      </bottom>
      <diagonal/>
    </border>
    <border>
      <left/>
      <right/>
      <top/>
      <bottom style="medium">
        <color rgb="FFE5E5E5"/>
      </bottom>
      <diagonal/>
    </border>
    <border>
      <left/>
      <right/>
      <top style="medium">
        <color rgb="FFE5E5E5"/>
      </top>
      <bottom style="medium">
        <color rgb="FFE5E5E5"/>
      </bottom>
      <diagonal/>
    </border>
    <border>
      <left style="thick">
        <color rgb="FF4D90FE"/>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hair">
        <color auto="1"/>
      </left>
      <right style="hair">
        <color auto="1"/>
      </right>
      <top style="hair">
        <color auto="1"/>
      </top>
      <bottom style="hair">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thin">
        <color auto="1"/>
      </left>
      <right/>
      <top style="hair">
        <color auto="1"/>
      </top>
      <bottom style="hair">
        <color auto="1"/>
      </bottom>
      <diagonal/>
    </border>
    <border>
      <left style="thin">
        <color auto="1"/>
      </left>
      <right/>
      <top style="hair">
        <color auto="1"/>
      </top>
      <bottom style="thin">
        <color auto="1"/>
      </bottom>
      <diagonal/>
    </border>
    <border>
      <left/>
      <right style="hair">
        <color auto="1"/>
      </right>
      <top style="thin">
        <color auto="1"/>
      </top>
      <bottom/>
      <diagonal/>
    </border>
    <border>
      <left style="hair">
        <color auto="1"/>
      </left>
      <right style="hair">
        <color auto="1"/>
      </right>
      <top style="thin">
        <color auto="1"/>
      </top>
      <bottom/>
      <diagonal/>
    </border>
    <border>
      <left style="hair">
        <color auto="1"/>
      </left>
      <right style="thin">
        <color auto="1"/>
      </right>
      <top style="thin">
        <color auto="1"/>
      </top>
      <bottom/>
      <diagonal/>
    </border>
    <border>
      <left style="thin">
        <color auto="1"/>
      </left>
      <right/>
      <top/>
      <bottom style="hair">
        <color auto="1"/>
      </bottom>
      <diagonal/>
    </border>
  </borders>
  <cellStyleXfs count="4">
    <xf numFmtId="0" fontId="0" fillId="0" borderId="0">
      <alignment vertical="center"/>
    </xf>
    <xf numFmtId="0" fontId="2" fillId="0" borderId="0" applyNumberFormat="0" applyFill="0" applyBorder="0" applyAlignment="0" applyProtection="0">
      <alignment vertical="center"/>
    </xf>
    <xf numFmtId="0" fontId="3" fillId="0" borderId="0">
      <alignment vertical="center"/>
    </xf>
    <xf numFmtId="0" fontId="5" fillId="0" borderId="0">
      <alignment vertical="center"/>
    </xf>
  </cellStyleXfs>
  <cellXfs count="71">
    <xf numFmtId="0" fontId="0" fillId="0" borderId="0" xfId="0">
      <alignment vertical="center"/>
    </xf>
    <xf numFmtId="0" fontId="3" fillId="0" borderId="0" xfId="2">
      <alignment vertical="center"/>
    </xf>
    <xf numFmtId="49" fontId="0" fillId="0" borderId="0" xfId="0" applyNumberFormat="1" applyBorder="1">
      <alignment vertical="center"/>
    </xf>
    <xf numFmtId="0" fontId="2" fillId="0" borderId="0" xfId="1" applyNumberFormat="1" applyBorder="1">
      <alignment vertical="center"/>
    </xf>
    <xf numFmtId="0" fontId="0" fillId="0" borderId="0" xfId="0" applyNumberFormat="1" applyBorder="1">
      <alignment vertical="center"/>
    </xf>
    <xf numFmtId="0" fontId="0" fillId="0" borderId="0" xfId="0" applyBorder="1">
      <alignment vertical="center"/>
    </xf>
    <xf numFmtId="49" fontId="2" fillId="0" borderId="0" xfId="1" applyNumberFormat="1" applyBorder="1">
      <alignment vertical="center"/>
    </xf>
    <xf numFmtId="49" fontId="0" fillId="0" borderId="0" xfId="0" applyNumberFormat="1" applyBorder="1" applyAlignment="1">
      <alignment vertical="center" wrapText="1"/>
    </xf>
    <xf numFmtId="0" fontId="0" fillId="0" borderId="0" xfId="0" applyAlignment="1">
      <alignment horizontal="left" vertical="center" indent="1"/>
    </xf>
    <xf numFmtId="0" fontId="2" fillId="0" borderId="0" xfId="1" applyAlignment="1">
      <alignment horizontal="left" vertical="center" indent="1"/>
    </xf>
    <xf numFmtId="0" fontId="6" fillId="0" borderId="0" xfId="0" applyFont="1">
      <alignment vertical="center"/>
    </xf>
    <xf numFmtId="0" fontId="7" fillId="2" borderId="1" xfId="0" applyFont="1" applyFill="1" applyBorder="1" applyAlignment="1">
      <alignment horizontal="center" vertical="center" wrapText="1"/>
    </xf>
    <xf numFmtId="0" fontId="9" fillId="0" borderId="0" xfId="0" applyFont="1">
      <alignment vertical="center"/>
    </xf>
    <xf numFmtId="0" fontId="8" fillId="0" borderId="2" xfId="0" applyFont="1" applyBorder="1" applyAlignment="1">
      <alignment horizontal="justify" vertical="top" wrapText="1"/>
    </xf>
    <xf numFmtId="0" fontId="0" fillId="0" borderId="3" xfId="0" applyBorder="1" applyAlignment="1">
      <alignment horizontal="justify" vertical="top" wrapText="1"/>
    </xf>
    <xf numFmtId="0" fontId="0" fillId="0" borderId="2" xfId="0" applyBorder="1" applyAlignment="1">
      <alignment horizontal="justify" vertical="top" wrapText="1"/>
    </xf>
    <xf numFmtId="0" fontId="9" fillId="0" borderId="3" xfId="0" applyFont="1" applyBorder="1" applyAlignment="1">
      <alignment horizontal="justify" vertical="top" wrapText="1"/>
    </xf>
    <xf numFmtId="0" fontId="8" fillId="0" borderId="3" xfId="0" applyFont="1" applyBorder="1" applyAlignment="1">
      <alignment horizontal="justify" vertical="top" wrapText="1"/>
    </xf>
    <xf numFmtId="0" fontId="8" fillId="0" borderId="1" xfId="0" applyFont="1" applyBorder="1" applyAlignment="1">
      <alignment horizontal="center" vertical="top" wrapText="1"/>
    </xf>
    <xf numFmtId="0" fontId="0" fillId="0" borderId="1" xfId="0" applyBorder="1" applyAlignment="1">
      <alignment horizontal="justify" vertical="top" wrapText="1"/>
    </xf>
    <xf numFmtId="0" fontId="8" fillId="0" borderId="1" xfId="0" applyFont="1" applyBorder="1" applyAlignment="1">
      <alignment horizontal="justify" vertical="top" wrapText="1"/>
    </xf>
    <xf numFmtId="6" fontId="8" fillId="0" borderId="1" xfId="0" applyNumberFormat="1" applyFont="1" applyBorder="1" applyAlignment="1">
      <alignment horizontal="justify" vertical="top" wrapText="1"/>
    </xf>
    <xf numFmtId="0" fontId="0" fillId="0" borderId="0" xfId="0" applyAlignment="1">
      <alignment horizontal="justify" vertical="center"/>
    </xf>
    <xf numFmtId="0" fontId="10" fillId="0" borderId="6" xfId="0" applyFont="1" applyBorder="1" applyAlignment="1">
      <alignment horizontal="justify" vertical="center"/>
    </xf>
    <xf numFmtId="0" fontId="11" fillId="0" borderId="6" xfId="0" applyFont="1" applyBorder="1" applyAlignment="1">
      <alignment horizontal="justify" vertical="center"/>
    </xf>
    <xf numFmtId="0" fontId="8" fillId="0" borderId="0" xfId="0" applyFont="1" applyAlignment="1">
      <alignment horizontal="justify" vertical="center"/>
    </xf>
    <xf numFmtId="0" fontId="2" fillId="0" borderId="0" xfId="1" applyAlignment="1">
      <alignment horizontal="justify" vertical="center"/>
    </xf>
    <xf numFmtId="0" fontId="0" fillId="0" borderId="0" xfId="0" applyAlignment="1">
      <alignment horizontal="left" vertical="center" indent="3"/>
    </xf>
    <xf numFmtId="0" fontId="14" fillId="0" borderId="6" xfId="0" applyFont="1" applyBorder="1" applyAlignment="1">
      <alignment horizontal="left" vertical="center" indent="3"/>
    </xf>
    <xf numFmtId="0" fontId="10" fillId="0" borderId="6" xfId="0" applyFont="1" applyBorder="1" applyAlignment="1">
      <alignment horizontal="left" vertical="center" indent="3"/>
    </xf>
    <xf numFmtId="0" fontId="16" fillId="0" borderId="0" xfId="0" applyFont="1">
      <alignment vertical="center"/>
    </xf>
    <xf numFmtId="0" fontId="17" fillId="0" borderId="6" xfId="0" applyFont="1" applyBorder="1" applyAlignment="1">
      <alignment horizontal="left" vertical="center" indent="3"/>
    </xf>
    <xf numFmtId="0" fontId="11" fillId="0" borderId="6" xfId="0" applyFont="1" applyBorder="1" applyAlignment="1">
      <alignment horizontal="left" vertical="center" indent="3"/>
    </xf>
    <xf numFmtId="0" fontId="18" fillId="0" borderId="0" xfId="0" applyFont="1">
      <alignment vertical="center"/>
    </xf>
    <xf numFmtId="0" fontId="19" fillId="0" borderId="0" xfId="0" applyFont="1" applyAlignment="1">
      <alignment horizontal="left" vertical="center" indent="2"/>
    </xf>
    <xf numFmtId="0" fontId="21" fillId="0" borderId="0" xfId="0" applyFont="1" applyAlignment="1">
      <alignment horizontal="left" vertical="center" indent="2"/>
    </xf>
    <xf numFmtId="0" fontId="20" fillId="0" borderId="0" xfId="0" applyFont="1" applyAlignment="1">
      <alignment horizontal="right" vertical="center"/>
    </xf>
    <xf numFmtId="0" fontId="2" fillId="0" borderId="0" xfId="1" applyAlignment="1">
      <alignment horizontal="right" vertical="center"/>
    </xf>
    <xf numFmtId="0" fontId="0" fillId="0" borderId="7" xfId="0" applyBorder="1">
      <alignment vertical="center"/>
    </xf>
    <xf numFmtId="0" fontId="2" fillId="0" borderId="0" xfId="1">
      <alignment vertical="center"/>
    </xf>
    <xf numFmtId="0" fontId="9" fillId="0" borderId="8" xfId="0" applyFont="1" applyBorder="1">
      <alignment vertical="center"/>
    </xf>
    <xf numFmtId="0" fontId="9" fillId="0" borderId="18" xfId="0" applyFont="1" applyBorder="1">
      <alignment vertical="center"/>
    </xf>
    <xf numFmtId="0" fontId="9" fillId="0" borderId="19" xfId="0" applyFont="1" applyBorder="1">
      <alignment vertical="center"/>
    </xf>
    <xf numFmtId="0" fontId="9" fillId="0" borderId="20" xfId="0" applyFont="1" applyBorder="1">
      <alignment vertical="center"/>
    </xf>
    <xf numFmtId="0" fontId="9" fillId="0" borderId="21" xfId="0" applyFont="1" applyBorder="1">
      <alignment vertical="center"/>
    </xf>
    <xf numFmtId="0" fontId="9" fillId="0" borderId="22" xfId="0" applyFont="1" applyBorder="1">
      <alignment vertical="center"/>
    </xf>
    <xf numFmtId="0" fontId="9" fillId="0" borderId="23" xfId="0" applyFont="1" applyBorder="1">
      <alignment vertical="center"/>
    </xf>
    <xf numFmtId="0" fontId="0" fillId="3" borderId="0" xfId="0" applyFill="1">
      <alignment vertical="center"/>
    </xf>
    <xf numFmtId="0" fontId="0" fillId="4" borderId="10" xfId="0" applyFill="1" applyBorder="1">
      <alignment vertical="center"/>
    </xf>
    <xf numFmtId="0" fontId="0" fillId="4" borderId="11" xfId="0" applyFill="1" applyBorder="1">
      <alignment vertical="center"/>
    </xf>
    <xf numFmtId="0" fontId="0" fillId="4" borderId="12" xfId="0" applyFill="1" applyBorder="1">
      <alignment vertical="center"/>
    </xf>
    <xf numFmtId="0" fontId="0" fillId="4" borderId="13" xfId="0" applyFill="1" applyBorder="1">
      <alignment vertical="center"/>
    </xf>
    <xf numFmtId="0" fontId="0" fillId="4" borderId="9" xfId="0" applyFill="1" applyBorder="1">
      <alignment vertical="center"/>
    </xf>
    <xf numFmtId="0" fontId="0" fillId="4" borderId="14" xfId="0" applyFill="1" applyBorder="1">
      <alignment vertical="center"/>
    </xf>
    <xf numFmtId="0" fontId="0" fillId="4" borderId="15" xfId="0" applyFill="1" applyBorder="1">
      <alignment vertical="center"/>
    </xf>
    <xf numFmtId="0" fontId="0" fillId="4" borderId="16" xfId="0" applyFill="1" applyBorder="1">
      <alignment vertical="center"/>
    </xf>
    <xf numFmtId="0" fontId="0" fillId="4" borderId="17" xfId="0" applyFill="1" applyBorder="1">
      <alignment vertical="center"/>
    </xf>
    <xf numFmtId="0" fontId="0" fillId="0" borderId="4" xfId="0" applyBorder="1" applyAlignment="1">
      <alignment horizontal="center" vertical="center"/>
    </xf>
    <xf numFmtId="0" fontId="0" fillId="0" borderId="4" xfId="0" applyBorder="1">
      <alignment vertical="center"/>
    </xf>
    <xf numFmtId="0" fontId="8" fillId="0" borderId="2" xfId="0" applyFont="1" applyBorder="1" applyAlignment="1">
      <alignment horizontal="center" vertical="top" wrapText="1"/>
    </xf>
    <xf numFmtId="0" fontId="8" fillId="0" borderId="3" xfId="0" applyFont="1" applyBorder="1" applyAlignment="1">
      <alignment horizontal="center" vertical="top" wrapText="1"/>
    </xf>
    <xf numFmtId="0" fontId="9" fillId="0" borderId="2" xfId="0" applyFont="1" applyBorder="1" applyAlignment="1">
      <alignment horizontal="justify" vertical="top" wrapText="1"/>
    </xf>
    <xf numFmtId="0" fontId="9" fillId="0" borderId="3" xfId="0" applyFont="1" applyBorder="1" applyAlignment="1">
      <alignment horizontal="justify" vertical="top" wrapText="1"/>
    </xf>
    <xf numFmtId="0" fontId="8" fillId="0" borderId="2" xfId="0" applyFont="1" applyBorder="1" applyAlignment="1">
      <alignment horizontal="justify" vertical="top" wrapText="1"/>
    </xf>
    <xf numFmtId="0" fontId="8" fillId="0" borderId="3" xfId="0" applyFont="1" applyBorder="1" applyAlignment="1">
      <alignment horizontal="justify" vertical="top" wrapText="1"/>
    </xf>
    <xf numFmtId="0" fontId="0" fillId="0" borderId="2" xfId="0" applyBorder="1" applyAlignment="1">
      <alignment horizontal="center" vertical="top" wrapText="1"/>
    </xf>
    <xf numFmtId="0" fontId="0" fillId="0" borderId="3" xfId="0" applyBorder="1" applyAlignment="1">
      <alignment horizontal="center" vertical="top" wrapText="1"/>
    </xf>
    <xf numFmtId="0" fontId="0" fillId="0" borderId="2" xfId="0" applyBorder="1" applyAlignment="1">
      <alignment horizontal="justify" vertical="top" wrapText="1"/>
    </xf>
    <xf numFmtId="0" fontId="0" fillId="0" borderId="3" xfId="0" applyBorder="1" applyAlignment="1">
      <alignment horizontal="justify" vertical="top" wrapText="1"/>
    </xf>
    <xf numFmtId="0" fontId="0" fillId="0" borderId="5" xfId="0" applyBorder="1" applyAlignment="1">
      <alignment horizontal="center" vertical="center"/>
    </xf>
    <xf numFmtId="0" fontId="0" fillId="0" borderId="5" xfId="0" applyBorder="1">
      <alignment vertical="center"/>
    </xf>
  </cellXfs>
  <cellStyles count="4">
    <cellStyle name="ハイパーリンク" xfId="1" builtinId="8"/>
    <cellStyle name="標準" xfId="0" builtinId="0"/>
    <cellStyle name="標準 2" xfId="2" xr:uid="{11612212-FF5C-4CF9-8246-AF44EB361076}"/>
    <cellStyle name="標準 2 2" xfId="3" xr:uid="{CA7B92C2-AB77-4E0E-B7B7-B8193246C64E}"/>
  </cellStyles>
  <dxfs count="12">
    <dxf>
      <fill>
        <patternFill>
          <bgColor theme="6" tint="0.59996337778862885"/>
        </patternFill>
      </fill>
    </dxf>
    <dxf>
      <numFmt numFmtId="0" formatCode="General"/>
    </dxf>
    <dxf>
      <numFmt numFmtId="0" formatCode="General"/>
    </dxf>
    <dxf>
      <numFmt numFmtId="0" formatCode="General"/>
    </dxf>
    <dxf>
      <numFmt numFmtId="0" formatCode="General"/>
    </dxf>
    <dxf>
      <numFmt numFmtId="30" formatCode="@"/>
      <alignment horizontal="general" vertical="center" textRotation="0" wrapText="1" indent="0" justifyLastLine="0" shrinkToFit="0" readingOrder="0"/>
    </dxf>
    <dxf>
      <numFmt numFmtId="30" formatCode="@"/>
      <alignment horizontal="general" vertical="center" textRotation="0" wrapText="1" indent="0" justifyLastLine="0" shrinkToFit="0" readingOrder="0"/>
    </dxf>
    <dxf>
      <numFmt numFmtId="30" formatCode="@"/>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431</xdr:row>
      <xdr:rowOff>0</xdr:rowOff>
    </xdr:from>
    <xdr:to>
      <xdr:col>2</xdr:col>
      <xdr:colOff>238125</xdr:colOff>
      <xdr:row>432</xdr:row>
      <xdr:rowOff>66675</xdr:rowOff>
    </xdr:to>
    <xdr:pic>
      <xdr:nvPicPr>
        <xdr:cNvPr id="3" name="図 2" descr="logo">
          <a:extLst>
            <a:ext uri="{FF2B5EF4-FFF2-40B4-BE49-F238E27FC236}">
              <a16:creationId xmlns:a16="http://schemas.microsoft.com/office/drawing/2014/main" id="{D972D0AF-58C8-4438-A35C-12720DF9D3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3335950"/>
          <a:ext cx="238125"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21.11\17\01gyomukanri\&#26376;&#22577;\H29&#20491;&#20154;&#21029;\&#9312;&#21517;&#21069;x.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業務一覧"/>
      <sheetName val="4月"/>
      <sheetName val="5月"/>
      <sheetName val="6月"/>
      <sheetName val="7月"/>
      <sheetName val="8月"/>
      <sheetName val="9月"/>
      <sheetName val="10月"/>
      <sheetName val="11月"/>
      <sheetName val="12月"/>
      <sheetName val="1月"/>
      <sheetName val="2月"/>
      <sheetName val="3月"/>
      <sheetName val="設定"/>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C37C7D3-BE1D-4645-B17B-766557CCD88D}" name="テーブル3" displayName="テーブル3" ref="A4:N44" totalsRowShown="0" headerRowDxfId="11" headerRowBorderDxfId="10" tableBorderDxfId="9" totalsRowBorderDxfId="8">
  <autoFilter ref="A4:N44" xr:uid="{228D115D-52BA-4633-82E7-108EA192F794}"/>
  <tableColumns count="14">
    <tableColumn id="1" xr3:uid="{3C29B25C-6DB3-455C-AA8C-2C32605BF1D5}" name="Source" dataDxfId="7"/>
    <tableColumn id="2" xr3:uid="{4F71F3B9-ECEC-4E91-9BD8-F89A131D1ED0}" name="Pattern" dataDxfId="6"/>
    <tableColumn id="13" xr3:uid="{098621B1-AC5E-4336-A91F-85C522227E74}" name="意味" dataDxfId="5"/>
    <tableColumn id="12" xr3:uid="{07C458DB-5761-4E84-898A-CC49DE1A295C}" name="Flow" dataDxfId="4" dataCellStyle="ハイパーリンク">
      <calculatedColumnFormula>HYPERLINK("https://regexper.com/#"&amp;_xlfn.ENCODEURL(テーブル3[[#This Row],[Pattern]]),"Preview")</calculatedColumnFormula>
    </tableColumn>
    <tableColumn id="10" xr3:uid="{FFB426F5-D212-42AB-B512-1FB9DC39A2AA}" name="IsMatch" dataDxfId="3">
      <calculatedColumnFormula>RegexIsMatch(テーブル3[[#This Row],[Source]],テーブル3[[#This Row],[Pattern]])</calculatedColumnFormula>
    </tableColumn>
    <tableColumn id="11" xr3:uid="{4EFF3845-BB83-46B1-8FB6-52B511B284BF}" name="Replace(ptn,&quot;&quot;)" dataDxfId="2">
      <calculatedColumnFormula>RegexReplace(テーブル3[[#This Row],[Source]],テーブル3[[#This Row],[Pattern]],"")</calculatedColumnFormula>
    </tableColumn>
    <tableColumn id="3" xr3:uid="{337F1218-B023-4231-AC32-14573BD9B6E8}" name="Matches1" dataDxfId="1">
      <calculatedColumnFormula>INDEX(RegexMatchValues($A5,$B5),COLUMN()-COLUMN($F5))</calculatedColumnFormula>
    </tableColumn>
    <tableColumn id="4" xr3:uid="{C86D96B5-9FFE-452B-A4FD-F897A2BF3233}" name="Matches2">
      <calculatedColumnFormula>INDEX(RegexMatchValues($A5,$B5),COLUMN()-COLUMN($F5))</calculatedColumnFormula>
    </tableColumn>
    <tableColumn id="5" xr3:uid="{1224E96B-B6DB-47C1-BEEC-FEC088A0C7B6}" name="Matches3">
      <calculatedColumnFormula>INDEX(RegexMatchValues($A5,$B5),COLUMN()-COLUMN($F5))</calculatedColumnFormula>
    </tableColumn>
    <tableColumn id="6" xr3:uid="{97AF4583-3E2B-4222-8B87-7646596CE88F}" name="Matches4">
      <calculatedColumnFormula>INDEX(RegexMatchValues($A5,$B5),COLUMN()-COLUMN($F5))</calculatedColumnFormula>
    </tableColumn>
    <tableColumn id="7" xr3:uid="{C4825EFC-0DDE-48F3-A5E4-CCDE60B8DF66}" name="Matches5">
      <calculatedColumnFormula>INDEX(RegexMatchValues($A5,$B5),COLUMN()-COLUMN($F5))</calculatedColumnFormula>
    </tableColumn>
    <tableColumn id="8" xr3:uid="{33AEDF27-FE5D-426D-B700-D14E29D616A4}" name="Matches6">
      <calculatedColumnFormula>INDEX(RegexMatchValues($A5,$B5),COLUMN()-COLUMN($F5))</calculatedColumnFormula>
    </tableColumn>
    <tableColumn id="9" xr3:uid="{1B1D51DB-09C9-483C-B7EF-AEB4381B679B}" name="列1"/>
    <tableColumn id="14" xr3:uid="{66F7393A-CF7D-43A7-BF72-D7A6CFDB6676}" name="対応する表現2"/>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mbria-Calibri">
      <a:majorFont>
        <a:latin typeface="Cambria" panose="02040503050406030204"/>
        <a:ea typeface=""/>
        <a:cs typeface=""/>
        <a:font script="Jpan" typeface="ＭＳ Ｐゴシック"/>
        <a:font script="Hang" typeface="맑은 고딕"/>
        <a:font script="Hans" typeface="黑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regexper.com/" TargetMode="External"/><Relationship Id="rId1" Type="http://schemas.openxmlformats.org/officeDocument/2006/relationships/hyperlink" Target="mailto:hoge@co.jp"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hyperlink" Target="https://murashun.jp/blog/20191110-01.html" TargetMode="External"/><Relationship Id="rId13" Type="http://schemas.openxmlformats.org/officeDocument/2006/relationships/hyperlink" Target="https://murashun.jp/blog/20190215-01.html" TargetMode="External"/><Relationship Id="rId3" Type="http://schemas.openxmlformats.org/officeDocument/2006/relationships/hyperlink" Target="https://murashun.jp/blog/20200410-01.html" TargetMode="External"/><Relationship Id="rId7" Type="http://schemas.openxmlformats.org/officeDocument/2006/relationships/hyperlink" Target="https://murashun.jp/blog/20200113-01.html" TargetMode="External"/><Relationship Id="rId12" Type="http://schemas.openxmlformats.org/officeDocument/2006/relationships/hyperlink" Target="https://murashun.fanbox.cc/" TargetMode="External"/><Relationship Id="rId2" Type="http://schemas.openxmlformats.org/officeDocument/2006/relationships/hyperlink" Target="https://murashun.jp/blog/20200113-01.html" TargetMode="External"/><Relationship Id="rId1" Type="http://schemas.openxmlformats.org/officeDocument/2006/relationships/hyperlink" Target="https://murashun.jp/blog/20191110-01.html" TargetMode="External"/><Relationship Id="rId6" Type="http://schemas.openxmlformats.org/officeDocument/2006/relationships/hyperlink" Target="https://murashun.jp/blog/20200128-01.html" TargetMode="External"/><Relationship Id="rId11" Type="http://schemas.openxmlformats.org/officeDocument/2006/relationships/hyperlink" Target="https://marshmallow-qa.com/murashun" TargetMode="External"/><Relationship Id="rId5" Type="http://schemas.openxmlformats.org/officeDocument/2006/relationships/hyperlink" Target="https://murashun.jp/blog/20200408-01.html" TargetMode="External"/><Relationship Id="rId10" Type="http://schemas.openxmlformats.org/officeDocument/2006/relationships/hyperlink" Target="https://twitter.com/murashun" TargetMode="External"/><Relationship Id="rId4" Type="http://schemas.openxmlformats.org/officeDocument/2006/relationships/hyperlink" Target="https://murashun.jp/blog/20200410-01.html" TargetMode="External"/><Relationship Id="rId9" Type="http://schemas.openxmlformats.org/officeDocument/2006/relationships/hyperlink" Target="https://murashun.jp/about.html" TargetMode="External"/><Relationship Id="rId1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28B5F-AD46-4BBC-955A-053CCE755E92}">
  <sheetPr codeName="Sheet2"/>
  <dimension ref="A1:N44"/>
  <sheetViews>
    <sheetView tabSelected="1" zoomScaleNormal="100" workbookViewId="0">
      <pane ySplit="4" topLeftCell="A7" activePane="bottomLeft" state="frozen"/>
      <selection pane="bottomLeft" activeCell="C22" sqref="C22"/>
    </sheetView>
  </sheetViews>
  <sheetFormatPr defaultRowHeight="13.5"/>
  <cols>
    <col min="1" max="1" width="31.125" style="2" bestFit="1" customWidth="1"/>
    <col min="2" max="2" width="23.375" style="2" customWidth="1"/>
    <col min="3" max="3" width="27.5" style="2" customWidth="1"/>
    <col min="4" max="4" width="7.5" style="4" bestFit="1" customWidth="1"/>
    <col min="5" max="5" width="10.875" style="4" bestFit="1" customWidth="1"/>
    <col min="6" max="6" width="25.375" style="4" bestFit="1" customWidth="1"/>
    <col min="7" max="7" width="15.125" style="5" bestFit="1" customWidth="1"/>
    <col min="8" max="12" width="18" style="5" customWidth="1"/>
    <col min="13" max="13" width="9" style="5"/>
    <col min="14" max="14" width="13.375" style="5" bestFit="1" customWidth="1"/>
    <col min="15" max="16384" width="9" style="5"/>
  </cols>
  <sheetData>
    <row r="1" spans="1:14">
      <c r="A1" s="2" t="s">
        <v>36</v>
      </c>
      <c r="D1" s="3" t="s">
        <v>222</v>
      </c>
    </row>
    <row r="2" spans="1:14">
      <c r="A2" s="2" t="s">
        <v>553</v>
      </c>
    </row>
    <row r="3" spans="1:14">
      <c r="A3" s="2" t="s">
        <v>37</v>
      </c>
    </row>
    <row r="4" spans="1:14">
      <c r="A4" s="2" t="s">
        <v>2</v>
      </c>
      <c r="B4" s="2" t="s">
        <v>3</v>
      </c>
      <c r="C4" s="2" t="s">
        <v>225</v>
      </c>
      <c r="D4" s="4" t="s">
        <v>224</v>
      </c>
      <c r="E4" s="4" t="s">
        <v>25</v>
      </c>
      <c r="F4" s="4" t="s">
        <v>35</v>
      </c>
      <c r="G4" s="5" t="s">
        <v>19</v>
      </c>
      <c r="H4" s="5" t="s">
        <v>20</v>
      </c>
      <c r="I4" s="5" t="s">
        <v>21</v>
      </c>
      <c r="J4" s="5" t="s">
        <v>22</v>
      </c>
      <c r="K4" s="5" t="s">
        <v>23</v>
      </c>
      <c r="L4" s="5" t="s">
        <v>24</v>
      </c>
      <c r="M4" s="38" t="s">
        <v>576</v>
      </c>
      <c r="N4" s="38" t="s">
        <v>577</v>
      </c>
    </row>
    <row r="5" spans="1:14" ht="27">
      <c r="A5" s="6" t="s">
        <v>12</v>
      </c>
      <c r="B5" s="7" t="s">
        <v>13</v>
      </c>
      <c r="C5" s="7"/>
      <c r="D5" s="3" t="str">
        <f>HYPERLINK("https://regexper.com/#"&amp;_xlfn.ENCODEURL(テーブル3[[#This Row],[Pattern]]),"Preview")</f>
        <v>Preview</v>
      </c>
      <c r="E5" s="4" t="b">
        <f>RegexIsMatch(テーブル3[[#This Row],[Source]],テーブル3[[#This Row],[Pattern]])</f>
        <v>1</v>
      </c>
      <c r="F5" s="4" t="str">
        <f>RegexReplace(テーブル3[[#This Row],[Source]],テーブル3[[#This Row],[Pattern]],"")</f>
        <v/>
      </c>
      <c r="G5" s="5" t="str">
        <f>INDEX(RegexMatchValues($A5,$B5),COLUMN()-COLUMN($F5))</f>
        <v>hoge@co.jp</v>
      </c>
      <c r="H5" s="5" t="e">
        <f>INDEX(RegexMatchValues($A5,$B5),COLUMN()-COLUMN($F5))</f>
        <v>#REF!</v>
      </c>
      <c r="I5" s="5" t="e">
        <f>INDEX(RegexMatchValues($A5,$B5),COLUMN()-COLUMN($F5))</f>
        <v>#REF!</v>
      </c>
      <c r="J5" s="5" t="e">
        <f>INDEX(RegexMatchValues($A5,$B5),COLUMN()-COLUMN($F5))</f>
        <v>#REF!</v>
      </c>
      <c r="K5" s="5" t="e">
        <f>INDEX(RegexMatchValues($A5,$B5),COLUMN()-COLUMN($F5))</f>
        <v>#REF!</v>
      </c>
      <c r="L5" s="5" t="e">
        <f>INDEX(RegexMatchValues($A5,$B5),COLUMN()-COLUMN($F5))</f>
        <v>#REF!</v>
      </c>
    </row>
    <row r="6" spans="1:14">
      <c r="A6" s="2" t="s">
        <v>223</v>
      </c>
      <c r="B6" s="7" t="s">
        <v>4</v>
      </c>
      <c r="C6" s="7"/>
      <c r="D6" s="3" t="str">
        <f>HYPERLINK("https://regexper.com/#"&amp;_xlfn.ENCODEURL(テーブル3[[#This Row],[Pattern]]),"Preview")</f>
        <v>Preview</v>
      </c>
      <c r="E6" s="4" t="b">
        <f>RegexIsMatch(テーブル3[[#This Row],[Source]],テーブル3[[#This Row],[Pattern]])</f>
        <v>1</v>
      </c>
      <c r="F6" s="4" t="str">
        <f>RegexReplace(テーブル3[[#This Row],[Source]],テーブル3[[#This Row],[Pattern]],"")</f>
        <v/>
      </c>
      <c r="G6" s="5" t="str">
        <f>INDEX(RegexMatchValues($A6,$B6),COLUMN()-COLUMN($F6))</f>
        <v>&lt;body&gt;b&lt;/body&gt;</v>
      </c>
      <c r="H6" s="5" t="e">
        <f>INDEX(RegexMatchValues($A6,$B6),COLUMN()-COLUMN($F6))</f>
        <v>#REF!</v>
      </c>
      <c r="I6" s="5" t="e">
        <f>INDEX(RegexMatchValues($A6,$B6),COLUMN()-COLUMN($F6))</f>
        <v>#REF!</v>
      </c>
      <c r="J6" s="5" t="e">
        <f>INDEX(RegexMatchValues($A6,$B6),COLUMN()-COLUMN($F6))</f>
        <v>#REF!</v>
      </c>
      <c r="K6" s="5" t="e">
        <f>INDEX(RegexMatchValues($A6,$B6),COLUMN()-COLUMN($F6))</f>
        <v>#REF!</v>
      </c>
      <c r="L6" s="5" t="e">
        <f>INDEX(RegexMatchValues($A6,$B6),COLUMN()-COLUMN($F6))</f>
        <v>#REF!</v>
      </c>
    </row>
    <row r="7" spans="1:14">
      <c r="A7" s="2" t="s">
        <v>14</v>
      </c>
      <c r="B7" s="7" t="s">
        <v>5</v>
      </c>
      <c r="C7" s="7" t="s">
        <v>231</v>
      </c>
      <c r="D7" s="3" t="str">
        <f>HYPERLINK("https://regexper.com/#"&amp;_xlfn.ENCODEURL(テーブル3[[#This Row],[Pattern]]),"Preview")</f>
        <v>Preview</v>
      </c>
      <c r="E7" s="4" t="b">
        <f>RegexIsMatch(テーブル3[[#This Row],[Source]],テーブル3[[#This Row],[Pattern]])</f>
        <v>1</v>
      </c>
      <c r="F7" s="4" t="str">
        <f>RegexReplace(テーブル3[[#This Row],[Source]],テーブル3[[#This Row],[Pattern]],"")</f>
        <v>あいうカキクタチツ</v>
      </c>
      <c r="G7" s="5" t="str">
        <f>INDEX(RegexMatchValues($A7,$B7),COLUMN()-COLUMN($F7))</f>
        <v>さしすせそ</v>
      </c>
      <c r="H7" s="5" t="e">
        <f>INDEX(RegexMatchValues($A7,$B7),COLUMN()-COLUMN($F7))</f>
        <v>#REF!</v>
      </c>
      <c r="I7" s="5" t="e">
        <f>INDEX(RegexMatchValues($A7,$B7),COLUMN()-COLUMN($F7))</f>
        <v>#REF!</v>
      </c>
      <c r="J7" s="5" t="e">
        <f>INDEX(RegexMatchValues($A7,$B7),COLUMN()-COLUMN($F7))</f>
        <v>#REF!</v>
      </c>
      <c r="K7" s="5" t="e">
        <f>INDEX(RegexMatchValues($A7,$B7),COLUMN()-COLUMN($F7))</f>
        <v>#REF!</v>
      </c>
      <c r="L7" s="5" t="e">
        <f>INDEX(RegexMatchValues($A7,$B7),COLUMN()-COLUMN($F7))</f>
        <v>#REF!</v>
      </c>
    </row>
    <row r="8" spans="1:14">
      <c r="A8" s="2" t="s">
        <v>14</v>
      </c>
      <c r="B8" s="7" t="s">
        <v>6</v>
      </c>
      <c r="C8" s="7" t="s">
        <v>232</v>
      </c>
      <c r="D8" s="3" t="str">
        <f>HYPERLINK("https://regexper.com/#"&amp;_xlfn.ENCODEURL(テーブル3[[#This Row],[Pattern]]),"Preview")</f>
        <v>Preview</v>
      </c>
      <c r="E8" s="4" t="b">
        <f>RegexIsMatch(テーブル3[[#This Row],[Source]],テーブル3[[#This Row],[Pattern]])</f>
        <v>1</v>
      </c>
      <c r="F8" s="4" t="str">
        <f>RegexReplace(テーブル3[[#This Row],[Source]],テーブル3[[#This Row],[Pattern]],"")</f>
        <v>あいうさしすせそ</v>
      </c>
      <c r="G8" s="5" t="str">
        <f>INDEX(RegexMatchValues($A8,$B8),COLUMN()-COLUMN($F8))</f>
        <v>カキク</v>
      </c>
      <c r="H8" s="5" t="str">
        <f>INDEX(RegexMatchValues($A8,$B8),COLUMN()-COLUMN($F8))</f>
        <v>タチツ</v>
      </c>
      <c r="I8" s="5" t="e">
        <f>INDEX(RegexMatchValues($A8,$B8),COLUMN()-COLUMN($F8))</f>
        <v>#REF!</v>
      </c>
      <c r="J8" s="5" t="e">
        <f>INDEX(RegexMatchValues($A8,$B8),COLUMN()-COLUMN($F8))</f>
        <v>#REF!</v>
      </c>
      <c r="K8" s="5" t="e">
        <f>INDEX(RegexMatchValues($A8,$B8),COLUMN()-COLUMN($F8))</f>
        <v>#REF!</v>
      </c>
      <c r="L8" s="5" t="e">
        <f>INDEX(RegexMatchValues($A8,$B8),COLUMN()-COLUMN($F8))</f>
        <v>#REF!</v>
      </c>
    </row>
    <row r="9" spans="1:14">
      <c r="A9" s="2" t="s">
        <v>234</v>
      </c>
      <c r="B9" s="7" t="s">
        <v>7</v>
      </c>
      <c r="C9" s="7" t="s">
        <v>233</v>
      </c>
      <c r="D9" s="3" t="str">
        <f>HYPERLINK("https://regexper.com/#"&amp;_xlfn.ENCODEURL(テーブル3[[#This Row],[Pattern]]),"Preview")</f>
        <v>Preview</v>
      </c>
      <c r="E9" s="4" t="b">
        <f>RegexIsMatch(テーブル3[[#This Row],[Source]],テーブル3[[#This Row],[Pattern]])</f>
        <v>1</v>
      </c>
      <c r="F9" s="4" t="str">
        <f>RegexReplace(テーブル3[[#This Row],[Source]],テーブル3[[#This Row],[Pattern]],"")</f>
        <v>あいうさしすせそは</v>
      </c>
      <c r="G9" s="5" t="str">
        <f>INDEX(RegexMatchValues($A9,$B9),COLUMN()-COLUMN($F9))</f>
        <v>ｶｷｸｹｺ</v>
      </c>
      <c r="H9" s="5" t="str">
        <f>INDEX(RegexMatchValues($A9,$B9),COLUMN()-COLUMN($F9))</f>
        <v>ﾀﾁﾂﾃﾄ</v>
      </c>
      <c r="I9" s="5" t="e">
        <f>INDEX(RegexMatchValues($A9,$B9),COLUMN()-COLUMN($F9))</f>
        <v>#REF!</v>
      </c>
      <c r="J9" s="5" t="e">
        <f>INDEX(RegexMatchValues($A9,$B9),COLUMN()-COLUMN($F9))</f>
        <v>#REF!</v>
      </c>
      <c r="K9" s="5" t="e">
        <f>INDEX(RegexMatchValues($A9,$B9),COLUMN()-COLUMN($F9))</f>
        <v>#REF!</v>
      </c>
      <c r="L9" s="5" t="e">
        <f>INDEX(RegexMatchValues($A9,$B9),COLUMN()-COLUMN($F9))</f>
        <v>#REF!</v>
      </c>
    </row>
    <row r="10" spans="1:14">
      <c r="A10" s="2" t="s">
        <v>235</v>
      </c>
      <c r="B10" s="7" t="s">
        <v>8</v>
      </c>
      <c r="C10" s="7"/>
      <c r="D10" s="3" t="str">
        <f>HYPERLINK("https://regexper.com/#"&amp;_xlfn.ENCODEURL(テーブル3[[#This Row],[Pattern]]),"Preview")</f>
        <v>Preview</v>
      </c>
      <c r="E10" s="4" t="b">
        <f>RegexIsMatch(テーブル3[[#This Row],[Source]],テーブル3[[#This Row],[Pattern]])</f>
        <v>1</v>
      </c>
      <c r="F10" s="4" t="str">
        <f>RegexReplace(テーブル3[[#This Row],[Source]],テーブル3[[#This Row],[Pattern]],"")</f>
        <v>65</v>
      </c>
      <c r="G10" s="5" t="str">
        <f>INDEX(RegexMatchValues($A10,$B10),COLUMN()-COLUMN($F10))</f>
        <v>ABC123DEF4</v>
      </c>
      <c r="H10" s="5" t="e">
        <f>INDEX(RegexMatchValues($A10,$B10),COLUMN()-COLUMN($F10))</f>
        <v>#REF!</v>
      </c>
      <c r="I10" s="5" t="e">
        <f>INDEX(RegexMatchValues($A10,$B10),COLUMN()-COLUMN($F10))</f>
        <v>#REF!</v>
      </c>
      <c r="J10" s="5" t="e">
        <f>INDEX(RegexMatchValues($A10,$B10),COLUMN()-COLUMN($F10))</f>
        <v>#REF!</v>
      </c>
      <c r="K10" s="5" t="e">
        <f>INDEX(RegexMatchValues($A10,$B10),COLUMN()-COLUMN($F10))</f>
        <v>#REF!</v>
      </c>
      <c r="L10" s="5" t="e">
        <f>INDEX(RegexMatchValues($A10,$B10),COLUMN()-COLUMN($F10))</f>
        <v>#REF!</v>
      </c>
    </row>
    <row r="11" spans="1:14">
      <c r="A11" s="2" t="s">
        <v>15</v>
      </c>
      <c r="B11" s="7" t="s">
        <v>10</v>
      </c>
      <c r="C11" s="7" t="s">
        <v>236</v>
      </c>
      <c r="D11" s="3" t="str">
        <f>HYPERLINK("https://regexper.com/#"&amp;_xlfn.ENCODEURL(テーブル3[[#This Row],[Pattern]]),"Preview")</f>
        <v>Preview</v>
      </c>
      <c r="E11" s="4" t="b">
        <f>RegexIsMatch(テーブル3[[#This Row],[Source]],テーブル3[[#This Row],[Pattern]])</f>
        <v>1</v>
      </c>
      <c r="F11" s="4" t="str">
        <f>RegexReplace(テーブル3[[#This Row],[Source]],テーブル3[[#This Row],[Pattern]],"")</f>
        <v/>
      </c>
      <c r="G11" s="5" t="str">
        <f>INDEX(RegexMatchValues($A11,$B11),COLUMN()-COLUMN($F11))</f>
        <v>053-0854</v>
      </c>
      <c r="H11" s="5" t="e">
        <f>INDEX(RegexMatchValues($A11,$B11),COLUMN()-COLUMN($F11))</f>
        <v>#REF!</v>
      </c>
      <c r="I11" s="5" t="e">
        <f>INDEX(RegexMatchValues($A11,$B11),COLUMN()-COLUMN($F11))</f>
        <v>#REF!</v>
      </c>
      <c r="J11" s="5" t="e">
        <f>INDEX(RegexMatchValues($A11,$B11),COLUMN()-COLUMN($F11))</f>
        <v>#REF!</v>
      </c>
      <c r="K11" s="5" t="e">
        <f>INDEX(RegexMatchValues($A11,$B11),COLUMN()-COLUMN($F11))</f>
        <v>#REF!</v>
      </c>
      <c r="L11" s="5" t="e">
        <f>INDEX(RegexMatchValues($A11,$B11),COLUMN()-COLUMN($F11))</f>
        <v>#REF!</v>
      </c>
    </row>
    <row r="12" spans="1:14" ht="40.5">
      <c r="A12" s="2" t="s">
        <v>33</v>
      </c>
      <c r="B12" s="7" t="s">
        <v>11</v>
      </c>
      <c r="C12" s="7" t="s">
        <v>238</v>
      </c>
      <c r="D12" s="3" t="str">
        <f>HYPERLINK("https://regexper.com/#"&amp;_xlfn.ENCODEURL(テーブル3[[#This Row],[Pattern]]),"Preview")</f>
        <v>Preview</v>
      </c>
      <c r="E12" s="4" t="b">
        <f>RegexIsMatch(テーブル3[[#This Row],[Source]],テーブル3[[#This Row],[Pattern]])</f>
        <v>1</v>
      </c>
      <c r="F12" s="4" t="str">
        <f>RegexReplace(テーブル3[[#This Row],[Source]],テーブル3[[#This Row],[Pattern]],"")</f>
        <v/>
      </c>
      <c r="G12" s="5" t="str">
        <f>INDEX(RegexMatchValues($A12,$B12),COLUMN()-COLUMN($F12))</f>
        <v>0585-12-5678</v>
      </c>
      <c r="H12" s="5" t="e">
        <f>INDEX(RegexMatchValues($A12,$B12),COLUMN()-COLUMN($F12))</f>
        <v>#REF!</v>
      </c>
      <c r="I12" s="5" t="e">
        <f>INDEX(RegexMatchValues($A12,$B12),COLUMN()-COLUMN($F12))</f>
        <v>#REF!</v>
      </c>
      <c r="J12" s="5" t="e">
        <f>INDEX(RegexMatchValues($A12,$B12),COLUMN()-COLUMN($F12))</f>
        <v>#REF!</v>
      </c>
      <c r="K12" s="5" t="e">
        <f>INDEX(RegexMatchValues($A12,$B12),COLUMN()-COLUMN($F12))</f>
        <v>#REF!</v>
      </c>
      <c r="L12" s="5" t="e">
        <f>INDEX(RegexMatchValues($A12,$B12),COLUMN()-COLUMN($F12))</f>
        <v>#REF!</v>
      </c>
    </row>
    <row r="13" spans="1:14">
      <c r="A13" s="2" t="s">
        <v>34</v>
      </c>
      <c r="B13" s="7" t="s">
        <v>221</v>
      </c>
      <c r="C13" s="7" t="s">
        <v>237</v>
      </c>
      <c r="D13" s="3" t="str">
        <f>HYPERLINK("https://regexper.com/#"&amp;_xlfn.ENCODEURL(テーブル3[[#This Row],[Pattern]]),"Preview")</f>
        <v>Preview</v>
      </c>
      <c r="E13" s="4" t="b">
        <f>RegexIsMatch(テーブル3[[#This Row],[Source]],テーブル3[[#This Row],[Pattern]])</f>
        <v>1</v>
      </c>
      <c r="F13" s="4" t="str">
        <f>RegexReplace(テーブル3[[#This Row],[Source]],テーブル3[[#This Row],[Pattern]],"")</f>
        <v/>
      </c>
      <c r="G13" s="5" t="str">
        <f>INDEX(RegexMatchValues($A13,$B13),COLUMN()-COLUMN($F13))</f>
        <v>090-1234-5678</v>
      </c>
      <c r="H13" s="5" t="e">
        <f>INDEX(RegexMatchValues($A13,$B13),COLUMN()-COLUMN($F13))</f>
        <v>#REF!</v>
      </c>
      <c r="I13" s="5" t="e">
        <f>INDEX(RegexMatchValues($A13,$B13),COLUMN()-COLUMN($F13))</f>
        <v>#REF!</v>
      </c>
      <c r="J13" s="5" t="e">
        <f>INDEX(RegexMatchValues($A13,$B13),COLUMN()-COLUMN($F13))</f>
        <v>#REF!</v>
      </c>
      <c r="K13" s="5" t="e">
        <f>INDEX(RegexMatchValues($A13,$B13),COLUMN()-COLUMN($F13))</f>
        <v>#REF!</v>
      </c>
      <c r="L13" s="5" t="e">
        <f>INDEX(RegexMatchValues($A13,$B13),COLUMN()-COLUMN($F13))</f>
        <v>#REF!</v>
      </c>
    </row>
    <row r="14" spans="1:14">
      <c r="A14" s="2" t="s">
        <v>239</v>
      </c>
      <c r="B14" s="7" t="s">
        <v>16</v>
      </c>
      <c r="C14" s="7" t="s">
        <v>240</v>
      </c>
      <c r="D14" s="3" t="str">
        <f>HYPERLINK("https://regexper.com/#"&amp;_xlfn.ENCODEURL(テーブル3[[#This Row],[Pattern]]),"Preview")</f>
        <v>Preview</v>
      </c>
      <c r="E14" s="4" t="b">
        <f>RegexIsMatch(テーブル3[[#This Row],[Source]],テーブル3[[#This Row],[Pattern]])</f>
        <v>1</v>
      </c>
      <c r="F14" s="4" t="str">
        <f>RegexReplace(テーブル3[[#This Row],[Source]],テーブル3[[#This Row],[Pattern]],"")</f>
        <v>bbb_ccc</v>
      </c>
      <c r="G14" s="5" t="str">
        <f>INDEX(RegexMatchValues($A14,$B14),COLUMN()-COLUMN($F14))</f>
        <v>aaa_</v>
      </c>
      <c r="H14" s="5" t="e">
        <f>INDEX(RegexMatchValues($A14,$B14),COLUMN()-COLUMN($F14))</f>
        <v>#REF!</v>
      </c>
      <c r="I14" s="5" t="e">
        <f>INDEX(RegexMatchValues($A14,$B14),COLUMN()-COLUMN($F14))</f>
        <v>#REF!</v>
      </c>
      <c r="J14" s="5" t="e">
        <f>INDEX(RegexMatchValues($A14,$B14),COLUMN()-COLUMN($F14))</f>
        <v>#REF!</v>
      </c>
      <c r="K14" s="5" t="e">
        <f>INDEX(RegexMatchValues($A14,$B14),COLUMN()-COLUMN($F14))</f>
        <v>#REF!</v>
      </c>
      <c r="L14" s="5" t="e">
        <f>INDEX(RegexMatchValues($A14,$B14),COLUMN()-COLUMN($F14))</f>
        <v>#REF!</v>
      </c>
    </row>
    <row r="15" spans="1:14">
      <c r="A15" s="2" t="s">
        <v>17</v>
      </c>
      <c r="B15" s="7" t="s">
        <v>18</v>
      </c>
      <c r="C15" s="7" t="s">
        <v>229</v>
      </c>
      <c r="D15" s="3" t="str">
        <f>HYPERLINK("https://regexper.com/#"&amp;_xlfn.ENCODEURL(テーブル3[[#This Row],[Pattern]]),"Preview")</f>
        <v>Preview</v>
      </c>
      <c r="E15" s="4" t="b">
        <f>RegexIsMatch(テーブル3[[#This Row],[Source]],テーブル3[[#This Row],[Pattern]])</f>
        <v>1</v>
      </c>
      <c r="F15" s="4" t="str">
        <f>RegexReplace(テーブル3[[#This Row],[Source]],テーブル3[[#This Row],[Pattern]],"")</f>
        <v>c  ghi jkl  ghi</v>
      </c>
      <c r="G15" s="5" t="str">
        <f>INDEX(RegexMatchValues($A15,$B15),COLUMN()-COLUMN($F15))</f>
        <v>aabbc</v>
      </c>
      <c r="H15" s="5" t="str">
        <f>INDEX(RegexMatchValues($A15,$B15),COLUMN()-COLUMN($F15))</f>
        <v>axxyyzzc</v>
      </c>
      <c r="I15" s="5" t="str">
        <f>INDEX(RegexMatchValues($A15,$B15),COLUMN()-COLUMN($F15))</f>
        <v>abbaac</v>
      </c>
      <c r="J15" s="5" t="e">
        <f>INDEX(RegexMatchValues($A15,$B15),COLUMN()-COLUMN($F15))</f>
        <v>#REF!</v>
      </c>
      <c r="K15" s="5" t="e">
        <f>INDEX(RegexMatchValues($A15,$B15),COLUMN()-COLUMN($F15))</f>
        <v>#REF!</v>
      </c>
      <c r="L15" s="5" t="e">
        <f>INDEX(RegexMatchValues($A15,$B15),COLUMN()-COLUMN($F15))</f>
        <v>#REF!</v>
      </c>
    </row>
    <row r="16" spans="1:14">
      <c r="A16" s="2" t="s">
        <v>27</v>
      </c>
      <c r="B16" s="7" t="s">
        <v>26</v>
      </c>
      <c r="C16" s="7" t="s">
        <v>228</v>
      </c>
      <c r="D16" s="3" t="str">
        <f>HYPERLINK("https://regexper.com/#"&amp;_xlfn.ENCODEURL(テーブル3[[#This Row],[Pattern]]),"Preview")</f>
        <v>Preview</v>
      </c>
      <c r="E16" s="4" t="b">
        <f>RegexIsMatch(テーブル3[[#This Row],[Source]],テーブル3[[#This Row],[Pattern]])</f>
        <v>1</v>
      </c>
      <c r="F16" s="4" t="str">
        <f>RegexReplace(テーブル3[[#This Row],[Source]],テーブル3[[#This Row],[Pattern]],"")</f>
        <v/>
      </c>
      <c r="G16" s="5" t="str">
        <f>INDEX(RegexMatchValues($A16,$B16),COLUMN()-COLUMN($F16))</f>
        <v>101-0011</v>
      </c>
      <c r="H16" s="5" t="e">
        <f>INDEX(RegexMatchValues($A16,$B16),COLUMN()-COLUMN($F16))</f>
        <v>#REF!</v>
      </c>
      <c r="I16" s="5" t="e">
        <f>INDEX(RegexMatchValues($A16,$B16),COLUMN()-COLUMN($F16))</f>
        <v>#REF!</v>
      </c>
      <c r="J16" s="5" t="e">
        <f>INDEX(RegexMatchValues($A16,$B16),COLUMN()-COLUMN($F16))</f>
        <v>#REF!</v>
      </c>
      <c r="K16" s="5" t="e">
        <f>INDEX(RegexMatchValues($A16,$B16),COLUMN()-COLUMN($F16))</f>
        <v>#REF!</v>
      </c>
      <c r="L16" s="5" t="e">
        <f>INDEX(RegexMatchValues($A16,$B16),COLUMN()-COLUMN($F16))</f>
        <v>#REF!</v>
      </c>
    </row>
    <row r="17" spans="1:12" ht="27">
      <c r="A17" s="2" t="s">
        <v>29</v>
      </c>
      <c r="B17" s="7" t="s">
        <v>28</v>
      </c>
      <c r="C17" s="7" t="s">
        <v>227</v>
      </c>
      <c r="D17" s="3" t="str">
        <f>HYPERLINK("https://regexper.com/#"&amp;_xlfn.ENCODEURL(テーブル3[[#This Row],[Pattern]]),"Preview")</f>
        <v>Preview</v>
      </c>
      <c r="E17" s="4" t="b">
        <f>RegexIsMatch(テーブル3[[#This Row],[Source]],テーブル3[[#This Row],[Pattern]])</f>
        <v>1</v>
      </c>
      <c r="F17" s="4" t="str">
        <f>RegexReplace(テーブル3[[#This Row],[Source]],テーブル3[[#This Row],[Pattern]],"")</f>
        <v/>
      </c>
      <c r="G17" s="5" t="str">
        <f>INDEX(RegexMatchValues($A17,$B17),COLUMN()-COLUMN($F17))</f>
        <v>abc@def.com</v>
      </c>
      <c r="H17" s="5" t="e">
        <f>INDEX(RegexMatchValues($A17,$B17),COLUMN()-COLUMN($F17))</f>
        <v>#REF!</v>
      </c>
      <c r="I17" s="5" t="e">
        <f>INDEX(RegexMatchValues($A17,$B17),COLUMN()-COLUMN($F17))</f>
        <v>#REF!</v>
      </c>
      <c r="J17" s="5" t="e">
        <f>INDEX(RegexMatchValues($A17,$B17),COLUMN()-COLUMN($F17))</f>
        <v>#REF!</v>
      </c>
      <c r="K17" s="5" t="e">
        <f>INDEX(RegexMatchValues($A17,$B17),COLUMN()-COLUMN($F17))</f>
        <v>#REF!</v>
      </c>
      <c r="L17" s="5" t="e">
        <f>INDEX(RegexMatchValues($A17,$B17),COLUMN()-COLUMN($F17))</f>
        <v>#REF!</v>
      </c>
    </row>
    <row r="18" spans="1:12" ht="27">
      <c r="A18" s="2" t="s">
        <v>30</v>
      </c>
      <c r="B18" s="7" t="s">
        <v>31</v>
      </c>
      <c r="C18" s="7" t="s">
        <v>230</v>
      </c>
      <c r="D18" s="3" t="str">
        <f>HYPERLINK("https://regexper.com/#"&amp;_xlfn.ENCODEURL(テーブル3[[#This Row],[Pattern]]),"Preview")</f>
        <v>Preview</v>
      </c>
      <c r="E18" s="4" t="b">
        <f>RegexIsMatch(テーブル3[[#This Row],[Source]],テーブル3[[#This Row],[Pattern]])</f>
        <v>1</v>
      </c>
      <c r="F18" s="4" t="str">
        <f>RegexReplace(テーブル3[[#This Row],[Source]],テーブル3[[#This Row],[Pattern]],"")</f>
        <v/>
      </c>
      <c r="G18" s="5" t="str">
        <f>INDEX(RegexMatchValues($A18,$B18),COLUMN()-COLUMN($F18))</f>
        <v>Abc123</v>
      </c>
      <c r="H18" s="5" t="str">
        <f>INDEX(RegexMatchValues($A18,$B18),COLUMN()-COLUMN($F18))</f>
        <v>DEFGH4567</v>
      </c>
      <c r="I18" s="5" t="str">
        <f>INDEX(RegexMatchValues($A18,$B18),COLUMN()-COLUMN($F18))</f>
        <v>ijkl890</v>
      </c>
      <c r="J18" s="5" t="e">
        <f>INDEX(RegexMatchValues($A18,$B18),COLUMN()-COLUMN($F18))</f>
        <v>#REF!</v>
      </c>
      <c r="K18" s="5" t="e">
        <f>INDEX(RegexMatchValues($A18,$B18),COLUMN()-COLUMN($F18))</f>
        <v>#REF!</v>
      </c>
      <c r="L18" s="5" t="e">
        <f>INDEX(RegexMatchValues($A18,$B18),COLUMN()-COLUMN($F18))</f>
        <v>#REF!</v>
      </c>
    </row>
    <row r="19" spans="1:12">
      <c r="A19" s="2" t="s">
        <v>30</v>
      </c>
      <c r="B19" s="7" t="s">
        <v>32</v>
      </c>
      <c r="C19" s="7" t="s">
        <v>226</v>
      </c>
      <c r="D19" s="3" t="str">
        <f>HYPERLINK("https://regexper.com/#"&amp;_xlfn.ENCODEURL(テーブル3[[#This Row],[Pattern]]),"Preview")</f>
        <v>Preview</v>
      </c>
      <c r="E19" s="4" t="b">
        <f>RegexIsMatch(テーブル3[[#This Row],[Source]],テーブル3[[#This Row],[Pattern]])</f>
        <v>1</v>
      </c>
      <c r="F19" s="4" t="str">
        <f>RegexReplace(テーブル3[[#This Row],[Source]],テーブル3[[#This Row],[Pattern]],"")</f>
        <v>1234567890</v>
      </c>
      <c r="G19" s="5" t="str">
        <f>INDEX(RegexMatchValues($A19,$B19),COLUMN()-COLUMN($F19))</f>
        <v>A</v>
      </c>
      <c r="H19" s="5" t="str">
        <f>INDEX(RegexMatchValues($A19,$B19),COLUMN()-COLUMN($F19))</f>
        <v>b</v>
      </c>
      <c r="I19" s="5" t="str">
        <f>INDEX(RegexMatchValues($A19,$B19),COLUMN()-COLUMN($F19))</f>
        <v>c</v>
      </c>
      <c r="J19" s="5" t="str">
        <f>INDEX(RegexMatchValues($A19,$B19),COLUMN()-COLUMN($F19))</f>
        <v>D</v>
      </c>
      <c r="K19" s="5" t="str">
        <f>INDEX(RegexMatchValues($A19,$B19),COLUMN()-COLUMN($F19))</f>
        <v>E</v>
      </c>
      <c r="L19" s="5" t="str">
        <f>INDEX(RegexMatchValues($A19,$B19),COLUMN()-COLUMN($F19))</f>
        <v>F</v>
      </c>
    </row>
    <row r="20" spans="1:12">
      <c r="A20" s="2" t="s">
        <v>541</v>
      </c>
      <c r="B20" s="7" t="s">
        <v>539</v>
      </c>
      <c r="C20" s="7" t="s">
        <v>549</v>
      </c>
      <c r="D20" s="3" t="str">
        <f>HYPERLINK("https://regexper.com/#"&amp;_xlfn.ENCODEURL(テーブル3[[#This Row],[Pattern]]),"Preview")</f>
        <v>Preview</v>
      </c>
      <c r="E20" s="4" t="b">
        <f>RegexIsMatch(テーブル3[[#This Row],[Source]],テーブル3[[#This Row],[Pattern]])</f>
        <v>1</v>
      </c>
      <c r="F20" s="4" t="str">
        <f>RegexReplace(テーブル3[[#This Row],[Source]],テーブル3[[#This Row],[Pattern]],"")</f>
        <v/>
      </c>
      <c r="G20" s="5" t="str">
        <f>INDEX(RegexMatchValues($A20,$B20),COLUMN()-COLUMN($F20))</f>
        <v>あ</v>
      </c>
      <c r="H20" s="5" t="str">
        <f>INDEX(RegexMatchValues($A20,$B20),COLUMN()-COLUMN($F20))</f>
        <v>い</v>
      </c>
      <c r="I20" s="5" t="str">
        <f>INDEX(RegexMatchValues($A20,$B20),COLUMN()-COLUMN($F20))</f>
        <v>う</v>
      </c>
      <c r="J20" s="5" t="str">
        <f>INDEX(RegexMatchValues($A20,$B20),COLUMN()-COLUMN($F20))</f>
        <v>あ</v>
      </c>
      <c r="K20" s="5" t="str">
        <f>INDEX(RegexMatchValues($A20,$B20),COLUMN()-COLUMN($F20))</f>
        <v>い</v>
      </c>
      <c r="L20" s="5" t="str">
        <f>INDEX(RegexMatchValues($A20,$B20),COLUMN()-COLUMN($F20))</f>
        <v>う</v>
      </c>
    </row>
    <row r="21" spans="1:12">
      <c r="A21" s="2" t="s">
        <v>541</v>
      </c>
      <c r="B21" s="7" t="s">
        <v>542</v>
      </c>
      <c r="C21" s="7" t="s">
        <v>562</v>
      </c>
      <c r="D21" s="3" t="str">
        <f>HYPERLINK("https://regexper.com/#"&amp;_xlfn.ENCODEURL(テーブル3[[#This Row],[Pattern]]),"Preview")</f>
        <v>Preview</v>
      </c>
      <c r="E21" s="4" t="b">
        <f>RegexIsMatch(テーブル3[[#This Row],[Source]],テーブル3[[#This Row],[Pattern]])</f>
        <v>1</v>
      </c>
      <c r="F21" s="4" t="str">
        <f>RegexReplace(テーブル3[[#This Row],[Source]],テーブル3[[#This Row],[Pattern]],"")</f>
        <v>いういう</v>
      </c>
      <c r="G21" s="5" t="str">
        <f>INDEX(RegexMatchValues($A21,$B21),COLUMN()-COLUMN($F21))</f>
        <v>あ</v>
      </c>
      <c r="H21" s="5" t="str">
        <f>INDEX(RegexMatchValues($A21,$B21),COLUMN()-COLUMN($F21))</f>
        <v>あ</v>
      </c>
      <c r="I21" s="5" t="e">
        <f>INDEX(RegexMatchValues($A21,$B21),COLUMN()-COLUMN($F21))</f>
        <v>#REF!</v>
      </c>
      <c r="J21" s="5" t="e">
        <f>INDEX(RegexMatchValues($A21,$B21),COLUMN()-COLUMN($F21))</f>
        <v>#REF!</v>
      </c>
      <c r="K21" s="5" t="e">
        <f>INDEX(RegexMatchValues($A21,$B21),COLUMN()-COLUMN($F21))</f>
        <v>#REF!</v>
      </c>
      <c r="L21" s="5" t="e">
        <f>INDEX(RegexMatchValues($A21,$B21),COLUMN()-COLUMN($F21))</f>
        <v>#REF!</v>
      </c>
    </row>
    <row r="22" spans="1:12">
      <c r="A22" s="2" t="s">
        <v>541</v>
      </c>
      <c r="B22" s="7" t="s">
        <v>543</v>
      </c>
      <c r="C22" s="7" t="s">
        <v>563</v>
      </c>
      <c r="D22" s="3" t="str">
        <f>HYPERLINK("https://regexper.com/#"&amp;_xlfn.ENCODEURL(テーブル3[[#This Row],[Pattern]]),"Preview")</f>
        <v>Preview</v>
      </c>
      <c r="E22" s="4" t="b">
        <f>RegexIsMatch(テーブル3[[#This Row],[Source]],テーブル3[[#This Row],[Pattern]])</f>
        <v>1</v>
      </c>
      <c r="F22" s="4" t="str">
        <f>RegexReplace(テーブル3[[#This Row],[Source]],テーブル3[[#This Row],[Pattern]],"")</f>
        <v>いういう</v>
      </c>
      <c r="G22" s="5" t="str">
        <f>INDEX(RegexMatchValues($A22,$B22),COLUMN()-COLUMN($F22))</f>
        <v>あ</v>
      </c>
      <c r="H22" s="5" t="str">
        <f>INDEX(RegexMatchValues($A22,$B22),COLUMN()-COLUMN($F22))</f>
        <v/>
      </c>
      <c r="I22" s="5" t="str">
        <f>INDEX(RegexMatchValues($A22,$B22),COLUMN()-COLUMN($F22))</f>
        <v/>
      </c>
      <c r="J22" s="5" t="str">
        <f>INDEX(RegexMatchValues($A22,$B22),COLUMN()-COLUMN($F22))</f>
        <v>あ</v>
      </c>
      <c r="K22" s="5" t="str">
        <f>INDEX(RegexMatchValues($A22,$B22),COLUMN()-COLUMN($F22))</f>
        <v/>
      </c>
      <c r="L22" s="5" t="str">
        <f>INDEX(RegexMatchValues($A22,$B22),COLUMN()-COLUMN($F22))</f>
        <v/>
      </c>
    </row>
    <row r="23" spans="1:12">
      <c r="A23" s="2" t="s">
        <v>541</v>
      </c>
      <c r="B23" s="7" t="s">
        <v>544</v>
      </c>
      <c r="C23" s="7" t="s">
        <v>564</v>
      </c>
      <c r="D23" s="3" t="str">
        <f>HYPERLINK("https://regexper.com/#"&amp;_xlfn.ENCODEURL(テーブル3[[#This Row],[Pattern]]),"Preview")</f>
        <v>Preview</v>
      </c>
      <c r="E23" s="4" t="b">
        <f>RegexIsMatch(テーブル3[[#This Row],[Source]],テーブル3[[#This Row],[Pattern]])</f>
        <v>1</v>
      </c>
      <c r="F23" s="4" t="str">
        <f>RegexReplace(テーブル3[[#This Row],[Source]],テーブル3[[#This Row],[Pattern]],"")</f>
        <v>いういう</v>
      </c>
      <c r="G23" s="5" t="str">
        <f>INDEX(RegexMatchValues($A23,$B23),COLUMN()-COLUMN($F23))</f>
        <v>あ</v>
      </c>
      <c r="H23" s="5" t="str">
        <f>INDEX(RegexMatchValues($A23,$B23),COLUMN()-COLUMN($F23))</f>
        <v/>
      </c>
      <c r="I23" s="5" t="str">
        <f>INDEX(RegexMatchValues($A23,$B23),COLUMN()-COLUMN($F23))</f>
        <v/>
      </c>
      <c r="J23" s="5" t="str">
        <f>INDEX(RegexMatchValues($A23,$B23),COLUMN()-COLUMN($F23))</f>
        <v>あ</v>
      </c>
      <c r="K23" s="5" t="str">
        <f>INDEX(RegexMatchValues($A23,$B23),COLUMN()-COLUMN($F23))</f>
        <v/>
      </c>
      <c r="L23" s="5" t="str">
        <f>INDEX(RegexMatchValues($A23,$B23),COLUMN()-COLUMN($F23))</f>
        <v/>
      </c>
    </row>
    <row r="24" spans="1:12">
      <c r="A24" s="2" t="s">
        <v>541</v>
      </c>
      <c r="B24" s="7" t="s">
        <v>545</v>
      </c>
      <c r="C24" s="7" t="s">
        <v>565</v>
      </c>
      <c r="D24" s="3" t="str">
        <f>HYPERLINK("https://regexper.com/#"&amp;_xlfn.ENCODEURL(テーブル3[[#This Row],[Pattern]]),"Preview")</f>
        <v>Preview</v>
      </c>
      <c r="E24" s="4" t="b">
        <f>RegexIsMatch(テーブル3[[#This Row],[Source]],テーブル3[[#This Row],[Pattern]])</f>
        <v>1</v>
      </c>
      <c r="F24" s="4" t="str">
        <f>RegexReplace(テーブル3[[#This Row],[Source]],テーブル3[[#This Row],[Pattern]],"")</f>
        <v>いういう</v>
      </c>
      <c r="G24" s="5" t="str">
        <f>INDEX(RegexMatchValues($A24,$B24),COLUMN()-COLUMN($F24))</f>
        <v>あ</v>
      </c>
      <c r="H24" s="5" t="str">
        <f>INDEX(RegexMatchValues($A24,$B24),COLUMN()-COLUMN($F24))</f>
        <v>あ</v>
      </c>
      <c r="I24" s="5" t="e">
        <f>INDEX(RegexMatchValues($A24,$B24),COLUMN()-COLUMN($F24))</f>
        <v>#REF!</v>
      </c>
      <c r="J24" s="5" t="e">
        <f>INDEX(RegexMatchValues($A24,$B24),COLUMN()-COLUMN($F24))</f>
        <v>#REF!</v>
      </c>
      <c r="K24" s="5" t="e">
        <f>INDEX(RegexMatchValues($A24,$B24),COLUMN()-COLUMN($F24))</f>
        <v>#REF!</v>
      </c>
      <c r="L24" s="5" t="e">
        <f>INDEX(RegexMatchValues($A24,$B24),COLUMN()-COLUMN($F24))</f>
        <v>#REF!</v>
      </c>
    </row>
    <row r="25" spans="1:12">
      <c r="A25" s="2" t="s">
        <v>541</v>
      </c>
      <c r="B25" s="7" t="s">
        <v>546</v>
      </c>
      <c r="C25" s="7" t="s">
        <v>566</v>
      </c>
      <c r="D25" s="3" t="str">
        <f>HYPERLINK("https://regexper.com/#"&amp;_xlfn.ENCODEURL(テーブル3[[#This Row],[Pattern]]),"Preview")</f>
        <v>Preview</v>
      </c>
      <c r="E25" s="4" t="b">
        <f>RegexIsMatch(テーブル3[[#This Row],[Source]],テーブル3[[#This Row],[Pattern]])</f>
        <v>1</v>
      </c>
      <c r="F25" s="4" t="str">
        <f>RegexReplace(テーブル3[[#This Row],[Source]],テーブル3[[#This Row],[Pattern]],"")</f>
        <v>あいうあいう</v>
      </c>
      <c r="G25" s="5" t="str">
        <f>INDEX(RegexMatchValues($A25,$B25),COLUMN()-COLUMN($F25))</f>
        <v/>
      </c>
      <c r="H25" s="5" t="str">
        <f>INDEX(RegexMatchValues($A25,$B25),COLUMN()-COLUMN($F25))</f>
        <v/>
      </c>
      <c r="I25" s="5" t="str">
        <f>INDEX(RegexMatchValues($A25,$B25),COLUMN()-COLUMN($F25))</f>
        <v/>
      </c>
      <c r="J25" s="5" t="str">
        <f>INDEX(RegexMatchValues($A25,$B25),COLUMN()-COLUMN($F25))</f>
        <v/>
      </c>
      <c r="K25" s="5" t="str">
        <f>INDEX(RegexMatchValues($A25,$B25),COLUMN()-COLUMN($F25))</f>
        <v/>
      </c>
      <c r="L25" s="5" t="str">
        <f>INDEX(RegexMatchValues($A25,$B25),COLUMN()-COLUMN($F25))</f>
        <v/>
      </c>
    </row>
    <row r="26" spans="1:12">
      <c r="A26" s="2" t="s">
        <v>541</v>
      </c>
      <c r="B26" s="7" t="s">
        <v>547</v>
      </c>
      <c r="C26" s="7" t="s">
        <v>567</v>
      </c>
      <c r="D26" s="3" t="str">
        <f>HYPERLINK("https://regexper.com/#"&amp;_xlfn.ENCODEURL(テーブル3[[#This Row],[Pattern]]),"Preview")</f>
        <v>Preview</v>
      </c>
      <c r="E26" s="4" t="b">
        <f>RegexIsMatch(テーブル3[[#This Row],[Source]],テーブル3[[#This Row],[Pattern]])</f>
        <v>1</v>
      </c>
      <c r="F26" s="4" t="str">
        <f>RegexReplace(テーブル3[[#This Row],[Source]],テーブル3[[#This Row],[Pattern]],"")</f>
        <v>あいうあいう</v>
      </c>
      <c r="G26" s="5" t="str">
        <f>INDEX(RegexMatchValues($A26,$B26),COLUMN()-COLUMN($F26))</f>
        <v/>
      </c>
      <c r="H26" s="5" t="str">
        <f>INDEX(RegexMatchValues($A26,$B26),COLUMN()-COLUMN($F26))</f>
        <v/>
      </c>
      <c r="I26" s="5" t="str">
        <f>INDEX(RegexMatchValues($A26,$B26),COLUMN()-COLUMN($F26))</f>
        <v/>
      </c>
      <c r="J26" s="5" t="str">
        <f>INDEX(RegexMatchValues($A26,$B26),COLUMN()-COLUMN($F26))</f>
        <v/>
      </c>
      <c r="K26" s="5" t="str">
        <f>INDEX(RegexMatchValues($A26,$B26),COLUMN()-COLUMN($F26))</f>
        <v/>
      </c>
      <c r="L26" s="5" t="str">
        <f>INDEX(RegexMatchValues($A26,$B26),COLUMN()-COLUMN($F26))</f>
        <v/>
      </c>
    </row>
    <row r="27" spans="1:12">
      <c r="A27" s="2" t="s">
        <v>541</v>
      </c>
      <c r="B27" s="7" t="s">
        <v>548</v>
      </c>
      <c r="C27" s="7" t="s">
        <v>568</v>
      </c>
      <c r="D27" s="3" t="str">
        <f>HYPERLINK("https://regexper.com/#"&amp;_xlfn.ENCODEURL(テーブル3[[#This Row],[Pattern]]),"Preview")</f>
        <v>Preview</v>
      </c>
      <c r="E27" s="4" t="b">
        <f>RegexIsMatch(テーブル3[[#This Row],[Source]],テーブル3[[#This Row],[Pattern]])</f>
        <v>1</v>
      </c>
      <c r="F27" s="4" t="str">
        <f>RegexReplace(テーブル3[[#This Row],[Source]],テーブル3[[#This Row],[Pattern]],"")</f>
        <v>うう</v>
      </c>
      <c r="G27" s="5" t="str">
        <f>INDEX(RegexMatchValues($A27,$B27),COLUMN()-COLUMN($F27))</f>
        <v>あ</v>
      </c>
      <c r="H27" s="5" t="str">
        <f>INDEX(RegexMatchValues($A27,$B27),COLUMN()-COLUMN($F27))</f>
        <v>い</v>
      </c>
      <c r="I27" s="5" t="str">
        <f>INDEX(RegexMatchValues($A27,$B27),COLUMN()-COLUMN($F27))</f>
        <v>あ</v>
      </c>
      <c r="J27" s="5" t="str">
        <f>INDEX(RegexMatchValues($A27,$B27),COLUMN()-COLUMN($F27))</f>
        <v>い</v>
      </c>
      <c r="K27" s="5" t="e">
        <f>INDEX(RegexMatchValues($A27,$B27),COLUMN()-COLUMN($F27))</f>
        <v>#REF!</v>
      </c>
      <c r="L27" s="5" t="e">
        <f>INDEX(RegexMatchValues($A27,$B27),COLUMN()-COLUMN($F27))</f>
        <v>#REF!</v>
      </c>
    </row>
    <row r="28" spans="1:12">
      <c r="B28" s="7" t="s">
        <v>259</v>
      </c>
      <c r="C28" s="7" t="s">
        <v>550</v>
      </c>
      <c r="D28" s="3" t="str">
        <f>HYPERLINK("https://regexper.com/#"&amp;_xlfn.ENCODEURL(テーブル3[[#This Row],[Pattern]]),"Preview")</f>
        <v>Preview</v>
      </c>
      <c r="E28" s="4" t="e">
        <f>RegexIsMatch(テーブル3[[#This Row],[Source]],テーブル3[[#This Row],[Pattern]])</f>
        <v>#VALUE!</v>
      </c>
      <c r="F28" s="4" t="e">
        <f>RegexReplace(テーブル3[[#This Row],[Source]],テーブル3[[#This Row],[Pattern]],"")</f>
        <v>#VALUE!</v>
      </c>
      <c r="G28" s="5" t="e">
        <f>INDEX(RegexMatchValues($A28,$B28),COLUMN()-COLUMN($F28))</f>
        <v>#VALUE!</v>
      </c>
      <c r="H28" s="5" t="e">
        <f>INDEX(RegexMatchValues($A28,$B28),COLUMN()-COLUMN($F28))</f>
        <v>#VALUE!</v>
      </c>
      <c r="I28" s="5" t="e">
        <f>INDEX(RegexMatchValues($A28,$B28),COLUMN()-COLUMN($F28))</f>
        <v>#VALUE!</v>
      </c>
      <c r="J28" s="5" t="e">
        <f>INDEX(RegexMatchValues($A28,$B28),COLUMN()-COLUMN($F28))</f>
        <v>#VALUE!</v>
      </c>
      <c r="K28" s="5" t="e">
        <f>INDEX(RegexMatchValues($A28,$B28),COLUMN()-COLUMN($F28))</f>
        <v>#VALUE!</v>
      </c>
      <c r="L28" s="5" t="e">
        <f>INDEX(RegexMatchValues($A28,$B28),COLUMN()-COLUMN($F28))</f>
        <v>#VALUE!</v>
      </c>
    </row>
    <row r="29" spans="1:12" ht="27">
      <c r="A29" s="2" t="s">
        <v>570</v>
      </c>
      <c r="B29" s="7" t="s">
        <v>571</v>
      </c>
      <c r="C29" s="7" t="s">
        <v>569</v>
      </c>
      <c r="D29" s="3" t="str">
        <f>HYPERLINK("https://regexper.com/#"&amp;_xlfn.ENCODEURL(テーブル3[[#This Row],[Pattern]]),"Preview")</f>
        <v>Preview</v>
      </c>
      <c r="E29" s="4" t="b">
        <f>RegexIsMatch(テーブル3[[#This Row],[Source]],テーブル3[[#This Row],[Pattern]])</f>
        <v>1</v>
      </c>
      <c r="F29" s="4" t="str">
        <f>RegexReplace(テーブル3[[#This Row],[Source]],テーブル3[[#This Row],[Pattern]],"")</f>
        <v>あうかくさす</v>
      </c>
      <c r="G29" s="5" t="str">
        <f>INDEX(RegexMatchValues($A29,$B29),COLUMN()-COLUMN($F29))</f>
        <v>い</v>
      </c>
      <c r="H29" s="5" t="str">
        <f>INDEX(RegexMatchValues($A29,$B29),COLUMN()-COLUMN($F29))</f>
        <v>き</v>
      </c>
      <c r="I29" s="5" t="str">
        <f>INDEX(RegexMatchValues($A29,$B29),COLUMN()-COLUMN($F29))</f>
        <v>し</v>
      </c>
      <c r="J29" s="5" t="e">
        <f>INDEX(RegexMatchValues($A29,$B29),COLUMN()-COLUMN($F29))</f>
        <v>#REF!</v>
      </c>
      <c r="K29" s="5" t="e">
        <f>INDEX(RegexMatchValues($A29,$B29),COLUMN()-COLUMN($F29))</f>
        <v>#REF!</v>
      </c>
      <c r="L29" s="5" t="e">
        <f>INDEX(RegexMatchValues($A29,$B29),COLUMN()-COLUMN($F29))</f>
        <v>#REF!</v>
      </c>
    </row>
    <row r="30" spans="1:12" ht="27">
      <c r="A30" s="2" t="s">
        <v>570</v>
      </c>
      <c r="B30" s="7" t="s">
        <v>572</v>
      </c>
      <c r="C30" s="7" t="s">
        <v>573</v>
      </c>
      <c r="D30" s="3" t="str">
        <f>HYPERLINK("https://regexper.com/#"&amp;_xlfn.ENCODEURL(テーブル3[[#This Row],[Pattern]]),"Preview")</f>
        <v>Preview</v>
      </c>
      <c r="E30" s="4" t="b">
        <f>RegexIsMatch(テーブル3[[#This Row],[Source]],テーブル3[[#This Row],[Pattern]])</f>
        <v>1</v>
      </c>
      <c r="F30" s="4" t="str">
        <f>RegexReplace(テーブル3[[#This Row],[Source]],テーブル3[[#This Row],[Pattern]],"")</f>
        <v>いきし</v>
      </c>
      <c r="G30" s="5" t="str">
        <f>INDEX(RegexMatchValues($A30,$B30),COLUMN()-COLUMN($F30))</f>
        <v>あ</v>
      </c>
      <c r="H30" s="5" t="str">
        <f>INDEX(RegexMatchValues($A30,$B30),COLUMN()-COLUMN($F30))</f>
        <v>う</v>
      </c>
      <c r="I30" s="5" t="str">
        <f>INDEX(RegexMatchValues($A30,$B30),COLUMN()-COLUMN($F30))</f>
        <v>か</v>
      </c>
      <c r="J30" s="5" t="str">
        <f>INDEX(RegexMatchValues($A30,$B30),COLUMN()-COLUMN($F30))</f>
        <v>く</v>
      </c>
      <c r="K30" s="5" t="str">
        <f>INDEX(RegexMatchValues($A30,$B30),COLUMN()-COLUMN($F30))</f>
        <v>さ</v>
      </c>
      <c r="L30" s="5" t="str">
        <f>INDEX(RegexMatchValues($A30,$B30),COLUMN()-COLUMN($F30))</f>
        <v>す</v>
      </c>
    </row>
    <row r="31" spans="1:12">
      <c r="A31" s="2" t="s">
        <v>570</v>
      </c>
      <c r="B31" s="7" t="s">
        <v>574</v>
      </c>
      <c r="C31" s="7" t="s">
        <v>575</v>
      </c>
      <c r="D31" s="3" t="str">
        <f>HYPERLINK("https://regexper.com/#"&amp;_xlfn.ENCODEURL(テーブル3[[#This Row],[Pattern]]),"Preview")</f>
        <v>Preview</v>
      </c>
      <c r="E31" s="4" t="b">
        <f>RegexIsMatch(テーブル3[[#This Row],[Source]],テーブル3[[#This Row],[Pattern]])</f>
        <v>1</v>
      </c>
      <c r="F31" s="4" t="str">
        <f>RegexReplace(テーブル3[[#This Row],[Source]],テーブル3[[#This Row],[Pattern]],"")</f>
        <v>あいうさしす</v>
      </c>
      <c r="G31" s="5" t="str">
        <f>INDEX(RegexMatchValues($A31,$B31),COLUMN()-COLUMN($F31))</f>
        <v>かきく</v>
      </c>
      <c r="H31" s="5" t="e">
        <f>INDEX(RegexMatchValues($A31,$B31),COLUMN()-COLUMN($F31))</f>
        <v>#REF!</v>
      </c>
      <c r="I31" s="5" t="e">
        <f>INDEX(RegexMatchValues($A31,$B31),COLUMN()-COLUMN($F31))</f>
        <v>#REF!</v>
      </c>
      <c r="J31" s="5" t="e">
        <f>INDEX(RegexMatchValues($A31,$B31),COLUMN()-COLUMN($F31))</f>
        <v>#REF!</v>
      </c>
      <c r="K31" s="5" t="e">
        <f>INDEX(RegexMatchValues($A31,$B31),COLUMN()-COLUMN($F31))</f>
        <v>#REF!</v>
      </c>
      <c r="L31" s="5" t="e">
        <f>INDEX(RegexMatchValues($A31,$B31),COLUMN()-COLUMN($F31))</f>
        <v>#REF!</v>
      </c>
    </row>
    <row r="32" spans="1:12">
      <c r="A32" s="2" t="s">
        <v>554</v>
      </c>
      <c r="B32" s="7" t="s">
        <v>552</v>
      </c>
      <c r="C32" s="7" t="s">
        <v>556</v>
      </c>
      <c r="D32" s="3" t="str">
        <f>HYPERLINK("https://regexper.com/#"&amp;_xlfn.ENCODEURL(テーブル3[[#This Row],[Pattern]]),"Preview")</f>
        <v>Preview</v>
      </c>
      <c r="E32" s="4" t="b">
        <f>RegexIsMatch(テーブル3[[#This Row],[Source]],テーブル3[[#This Row],[Pattern]])</f>
        <v>1</v>
      </c>
      <c r="F32" s="4" t="str">
        <f>RegexReplace(テーブル3[[#This Row],[Source]],テーブル3[[#This Row],[Pattern]],"")</f>
        <v>あいああいいあい</v>
      </c>
      <c r="G32" s="5" t="str">
        <f>INDEX(RegexMatchValues($A32,$B32),COLUMN()-COLUMN($F32))</f>
        <v>あああ</v>
      </c>
      <c r="H32" s="5" t="str">
        <f>INDEX(RegexMatchValues($A32,$B32),COLUMN()-COLUMN($F32))</f>
        <v>あああ</v>
      </c>
      <c r="I32" s="5" t="e">
        <f>INDEX(RegexMatchValues($A32,$B32),COLUMN()-COLUMN($F32))</f>
        <v>#REF!</v>
      </c>
      <c r="J32" s="5" t="e">
        <f>INDEX(RegexMatchValues($A32,$B32),COLUMN()-COLUMN($F32))</f>
        <v>#REF!</v>
      </c>
      <c r="K32" s="5" t="e">
        <f>INDEX(RegexMatchValues($A32,$B32),COLUMN()-COLUMN($F32))</f>
        <v>#REF!</v>
      </c>
      <c r="L32" s="5" t="e">
        <f>INDEX(RegexMatchValues($A32,$B32),COLUMN()-COLUMN($F32))</f>
        <v>#REF!</v>
      </c>
    </row>
    <row r="33" spans="1:14">
      <c r="A33" s="2" t="s">
        <v>554</v>
      </c>
      <c r="B33" s="7" t="s">
        <v>555</v>
      </c>
      <c r="C33" s="7" t="s">
        <v>557</v>
      </c>
      <c r="D33" s="3" t="str">
        <f>HYPERLINK("https://regexper.com/#"&amp;_xlfn.ENCODEURL(テーブル3[[#This Row],[Pattern]]),"Preview")</f>
        <v>Preview</v>
      </c>
      <c r="E33" s="4" t="b">
        <f>RegexIsMatch(テーブル3[[#This Row],[Source]],テーブル3[[#This Row],[Pattern]])</f>
        <v>1</v>
      </c>
      <c r="F33" s="4" t="str">
        <f>RegexReplace(テーブル3[[#This Row],[Source]],テーブル3[[#This Row],[Pattern]],"")</f>
        <v>あいああいいい</v>
      </c>
      <c r="G33" s="5" t="str">
        <f>INDEX(RegexMatchValues($A33,$B33),COLUMN()-COLUMN($F33))</f>
        <v>あああ</v>
      </c>
      <c r="H33" s="5" t="str">
        <f>INDEX(RegexMatchValues($A33,$B33),COLUMN()-COLUMN($F33))</f>
        <v>ああああ</v>
      </c>
      <c r="I33" s="5" t="e">
        <f>INDEX(RegexMatchValues($A33,$B33),COLUMN()-COLUMN($F33))</f>
        <v>#REF!</v>
      </c>
      <c r="J33" s="5" t="e">
        <f>INDEX(RegexMatchValues($A33,$B33),COLUMN()-COLUMN($F33))</f>
        <v>#REF!</v>
      </c>
      <c r="K33" s="5" t="e">
        <f>INDEX(RegexMatchValues($A33,$B33),COLUMN()-COLUMN($F33))</f>
        <v>#REF!</v>
      </c>
      <c r="L33" s="5" t="e">
        <f>INDEX(RegexMatchValues($A33,$B33),COLUMN()-COLUMN($F33))</f>
        <v>#REF!</v>
      </c>
    </row>
    <row r="34" spans="1:14" ht="27">
      <c r="A34" s="2" t="s">
        <v>554</v>
      </c>
      <c r="B34" s="7" t="s">
        <v>558</v>
      </c>
      <c r="C34" s="7" t="s">
        <v>560</v>
      </c>
      <c r="D34" s="3" t="str">
        <f>HYPERLINK("https://regexper.com/#"&amp;_xlfn.ENCODEURL(テーブル3[[#This Row],[Pattern]]),"Preview")</f>
        <v>Preview</v>
      </c>
      <c r="E34" s="4" t="b">
        <f>RegexIsMatch(テーブル3[[#This Row],[Source]],テーブル3[[#This Row],[Pattern]])</f>
        <v>1</v>
      </c>
      <c r="F34" s="4" t="str">
        <f>RegexReplace(テーブル3[[#This Row],[Source]],テーブル3[[#This Row],[Pattern]],"")</f>
        <v>あいいいあい</v>
      </c>
      <c r="G34" s="5" t="str">
        <f>INDEX(RegexMatchValues($A34,$B34),COLUMN()-COLUMN($F34))</f>
        <v>ああ</v>
      </c>
      <c r="H34" s="5" t="str">
        <f>INDEX(RegexMatchValues($A34,$B34),COLUMN()-COLUMN($F34))</f>
        <v>あああ</v>
      </c>
      <c r="I34" s="5" t="str">
        <f>INDEX(RegexMatchValues($A34,$B34),COLUMN()-COLUMN($F34))</f>
        <v>あああ</v>
      </c>
      <c r="J34" s="5" t="e">
        <f>INDEX(RegexMatchValues($A34,$B34),COLUMN()-COLUMN($F34))</f>
        <v>#REF!</v>
      </c>
      <c r="K34" s="5" t="e">
        <f>INDEX(RegexMatchValues($A34,$B34),COLUMN()-COLUMN($F34))</f>
        <v>#REF!</v>
      </c>
      <c r="L34" s="5" t="e">
        <f>INDEX(RegexMatchValues($A34,$B34),COLUMN()-COLUMN($F34))</f>
        <v>#REF!</v>
      </c>
    </row>
    <row r="35" spans="1:14" ht="27">
      <c r="A35" s="2" t="s">
        <v>554</v>
      </c>
      <c r="B35" s="7" t="s">
        <v>559</v>
      </c>
      <c r="C35" s="7" t="s">
        <v>561</v>
      </c>
      <c r="D35" s="3" t="str">
        <f>HYPERLINK("https://regexper.com/#"&amp;_xlfn.ENCODEURL(テーブル3[[#This Row],[Pattern]]),"Preview")</f>
        <v>Preview</v>
      </c>
      <c r="E35" s="4" t="b">
        <f>RegexIsMatch(テーブル3[[#This Row],[Source]],テーブル3[[#This Row],[Pattern]])</f>
        <v>1</v>
      </c>
      <c r="F35" s="4" t="str">
        <f>RegexReplace(テーブル3[[#This Row],[Source]],テーブル3[[#This Row],[Pattern]],"")</f>
        <v>あいいあいい</v>
      </c>
      <c r="G35" s="5" t="str">
        <f>INDEX(RegexMatchValues($A35,$B35),COLUMN()-COLUMN($F35))</f>
        <v>ああ</v>
      </c>
      <c r="H35" s="5" t="str">
        <f>INDEX(RegexMatchValues($A35,$B35),COLUMN()-COLUMN($F35))</f>
        <v>ああ</v>
      </c>
      <c r="I35" s="5" t="str">
        <f>INDEX(RegexMatchValues($A35,$B35),COLUMN()-COLUMN($F35))</f>
        <v>ああ</v>
      </c>
      <c r="J35" s="5" t="str">
        <f>INDEX(RegexMatchValues($A35,$B35),COLUMN()-COLUMN($F35))</f>
        <v>ああ</v>
      </c>
      <c r="K35" s="5" t="e">
        <f>INDEX(RegexMatchValues($A35,$B35),COLUMN()-COLUMN($F35))</f>
        <v>#REF!</v>
      </c>
      <c r="L35" s="5" t="e">
        <f>INDEX(RegexMatchValues($A35,$B35),COLUMN()-COLUMN($F35))</f>
        <v>#REF!</v>
      </c>
    </row>
    <row r="36" spans="1:14">
      <c r="B36" s="2" t="s">
        <v>297</v>
      </c>
      <c r="C36" s="7" t="s">
        <v>298</v>
      </c>
      <c r="D36" s="3" t="str">
        <f>HYPERLINK("https://regexper.com/#"&amp;_xlfn.ENCODEURL(テーブル3[[#This Row],[Pattern]]),"Preview")</f>
        <v>Preview</v>
      </c>
      <c r="E36" s="4" t="b">
        <f>RegexIsMatch(テーブル3[[#This Row],[Source]],テーブル3[[#This Row],[Pattern]])</f>
        <v>0</v>
      </c>
      <c r="F36" s="4" t="str">
        <f>RegexReplace(テーブル3[[#This Row],[Source]],テーブル3[[#This Row],[Pattern]],"")</f>
        <v/>
      </c>
      <c r="G36" s="5" t="e">
        <f>INDEX(RegexMatchValues($A36,$B36),COLUMN()-COLUMN($F36))</f>
        <v>#VALUE!</v>
      </c>
      <c r="H36" s="5" t="e">
        <f>INDEX(RegexMatchValues($A36,$B36),COLUMN()-COLUMN($F36))</f>
        <v>#VALUE!</v>
      </c>
      <c r="I36" s="5" t="e">
        <f>INDEX(RegexMatchValues($A36,$B36),COLUMN()-COLUMN($F36))</f>
        <v>#VALUE!</v>
      </c>
      <c r="J36" s="5" t="e">
        <f>INDEX(RegexMatchValues($A36,$B36),COLUMN()-COLUMN($F36))</f>
        <v>#VALUE!</v>
      </c>
      <c r="K36" s="5" t="e">
        <f>INDEX(RegexMatchValues($A36,$B36),COLUMN()-COLUMN($F36))</f>
        <v>#VALUE!</v>
      </c>
      <c r="L36" s="5" t="e">
        <f>INDEX(RegexMatchValues($A36,$B36),COLUMN()-COLUMN($F36))</f>
        <v>#VALUE!</v>
      </c>
      <c r="N36" s="5" t="s">
        <v>299</v>
      </c>
    </row>
    <row r="37" spans="1:14">
      <c r="B37" s="2" t="s">
        <v>300</v>
      </c>
      <c r="C37" s="7" t="s">
        <v>301</v>
      </c>
      <c r="D37" s="3" t="str">
        <f>HYPERLINK("https://regexper.com/#"&amp;_xlfn.ENCODEURL(テーブル3[[#This Row],[Pattern]]),"Preview")</f>
        <v>Preview</v>
      </c>
      <c r="E37" s="4" t="b">
        <f>RegexIsMatch(テーブル3[[#This Row],[Source]],テーブル3[[#This Row],[Pattern]])</f>
        <v>0</v>
      </c>
      <c r="F37" s="4" t="str">
        <f>RegexReplace(テーブル3[[#This Row],[Source]],テーブル3[[#This Row],[Pattern]],"")</f>
        <v/>
      </c>
      <c r="G37" s="5" t="e">
        <f>INDEX(RegexMatchValues($A37,$B37),COLUMN()-COLUMN($F37))</f>
        <v>#VALUE!</v>
      </c>
      <c r="H37" s="5" t="e">
        <f>INDEX(RegexMatchValues($A37,$B37),COLUMN()-COLUMN($F37))</f>
        <v>#VALUE!</v>
      </c>
      <c r="I37" s="5" t="e">
        <f>INDEX(RegexMatchValues($A37,$B37),COLUMN()-COLUMN($F37))</f>
        <v>#VALUE!</v>
      </c>
      <c r="J37" s="5" t="e">
        <f>INDEX(RegexMatchValues($A37,$B37),COLUMN()-COLUMN($F37))</f>
        <v>#VALUE!</v>
      </c>
      <c r="K37" s="5" t="e">
        <f>INDEX(RegexMatchValues($A37,$B37),COLUMN()-COLUMN($F37))</f>
        <v>#VALUE!</v>
      </c>
      <c r="L37" s="5" t="e">
        <f>INDEX(RegexMatchValues($A37,$B37),COLUMN()-COLUMN($F37))</f>
        <v>#VALUE!</v>
      </c>
      <c r="N37" s="5" t="s">
        <v>299</v>
      </c>
    </row>
    <row r="38" spans="1:14" ht="27">
      <c r="A38" s="7" t="s">
        <v>591</v>
      </c>
      <c r="B38" s="7" t="s">
        <v>302</v>
      </c>
      <c r="C38" s="7" t="s">
        <v>303</v>
      </c>
      <c r="D38" s="3" t="str">
        <f>HYPERLINK("https://regexper.com/#"&amp;_xlfn.ENCODEURL(テーブル3[[#This Row],[Pattern]]),"Preview")</f>
        <v>Preview</v>
      </c>
      <c r="E38" s="4" t="b">
        <f>RegexIsMatch(テーブル3[[#This Row],[Source]],テーブル3[[#This Row],[Pattern]])</f>
        <v>1</v>
      </c>
      <c r="F38" s="4" t="str">
        <f>RegexReplace(テーブル3[[#This Row],[Source]],テーブル3[[#This Row],[Pattern]],"")</f>
        <v/>
      </c>
      <c r="G38" s="5" t="str">
        <f>INDEX(RegexMatchValues($A38,$B38),COLUMN()-COLUMN($F38))</f>
        <v xml:space="preserve">
</v>
      </c>
      <c r="H38" s="5" t="e">
        <f>INDEX(RegexMatchValues($A38,$B38),COLUMN()-COLUMN($F38))</f>
        <v>#REF!</v>
      </c>
      <c r="I38" s="5" t="e">
        <f>INDEX(RegexMatchValues($A38,$B38),COLUMN()-COLUMN($F38))</f>
        <v>#REF!</v>
      </c>
      <c r="J38" s="5" t="e">
        <f>INDEX(RegexMatchValues($A38,$B38),COLUMN()-COLUMN($F38))</f>
        <v>#REF!</v>
      </c>
      <c r="K38" s="5" t="e">
        <f>INDEX(RegexMatchValues($A38,$B38),COLUMN()-COLUMN($F38))</f>
        <v>#REF!</v>
      </c>
      <c r="L38" s="5" t="e">
        <f>INDEX(RegexMatchValues($A38,$B38),COLUMN()-COLUMN($F38))</f>
        <v>#REF!</v>
      </c>
      <c r="N38" s="5" t="s">
        <v>299</v>
      </c>
    </row>
    <row r="39" spans="1:14">
      <c r="A39" s="2" t="s">
        <v>551</v>
      </c>
      <c r="B39" s="7" t="s">
        <v>304</v>
      </c>
      <c r="C39" s="7" t="s">
        <v>305</v>
      </c>
      <c r="D39" s="3" t="str">
        <f>HYPERLINK("https://regexper.com/#"&amp;_xlfn.ENCODEURL(テーブル3[[#This Row],[Pattern]]),"Preview")</f>
        <v>Preview</v>
      </c>
      <c r="E39" s="4" t="b">
        <f>RegexIsMatch(テーブル3[[#This Row],[Source]],テーブル3[[#This Row],[Pattern]])</f>
        <v>1</v>
      </c>
      <c r="F39" s="4" t="str">
        <f>RegexReplace(テーブル3[[#This Row],[Source]],テーブル3[[#This Row],[Pattern]],"")</f>
        <v/>
      </c>
      <c r="G39" s="5" t="str">
        <f>INDEX(RegexMatchValues($A39,$B39),COLUMN()-COLUMN($F39))</f>
        <v>1</v>
      </c>
      <c r="H39" s="5" t="str">
        <f>INDEX(RegexMatchValues($A39,$B39),COLUMN()-COLUMN($F39))</f>
        <v>2</v>
      </c>
      <c r="I39" s="5" t="str">
        <f>INDEX(RegexMatchValues($A39,$B39),COLUMN()-COLUMN($F39))</f>
        <v>3</v>
      </c>
      <c r="J39" s="5" t="e">
        <f>INDEX(RegexMatchValues($A39,$B39),COLUMN()-COLUMN($F39))</f>
        <v>#REF!</v>
      </c>
      <c r="K39" s="5" t="e">
        <f>INDEX(RegexMatchValues($A39,$B39),COLUMN()-COLUMN($F39))</f>
        <v>#REF!</v>
      </c>
      <c r="L39" s="5" t="e">
        <f>INDEX(RegexMatchValues($A39,$B39),COLUMN()-COLUMN($F39))</f>
        <v>#REF!</v>
      </c>
      <c r="N39" s="5" t="s">
        <v>306</v>
      </c>
    </row>
    <row r="40" spans="1:14">
      <c r="A40" s="2" t="s">
        <v>540</v>
      </c>
      <c r="B40" s="7" t="s">
        <v>307</v>
      </c>
      <c r="C40" s="7" t="s">
        <v>308</v>
      </c>
      <c r="D40" s="3" t="str">
        <f>HYPERLINK("https://regexper.com/#"&amp;_xlfn.ENCODEURL(テーブル3[[#This Row],[Pattern]]),"Preview")</f>
        <v>Preview</v>
      </c>
      <c r="E40" s="4" t="b">
        <f>RegexIsMatch(テーブル3[[#This Row],[Source]],テーブル3[[#This Row],[Pattern]])</f>
        <v>1</v>
      </c>
      <c r="F40" s="4" t="str">
        <f>RegexReplace(テーブル3[[#This Row],[Source]],テーブル3[[#This Row],[Pattern]],"")</f>
        <v/>
      </c>
      <c r="G40" s="4" t="str">
        <f>INDEX(RegexMatchValues($A40,$B40),COLUMN()-COLUMN($F40))</f>
        <v>a</v>
      </c>
      <c r="H40" s="5" t="str">
        <f>INDEX(RegexMatchValues($A40,$B40),COLUMN()-COLUMN($F40))</f>
        <v>b</v>
      </c>
      <c r="I40" s="5" t="str">
        <f>INDEX(RegexMatchValues($A40,$B40),COLUMN()-COLUMN($F40))</f>
        <v>c</v>
      </c>
      <c r="J40" s="5" t="e">
        <f>INDEX(RegexMatchValues($A40,$B40),COLUMN()-COLUMN($F40))</f>
        <v>#REF!</v>
      </c>
      <c r="K40" s="5" t="e">
        <f>INDEX(RegexMatchValues($A40,$B40),COLUMN()-COLUMN($F40))</f>
        <v>#REF!</v>
      </c>
      <c r="L40" s="5" t="e">
        <f>INDEX(RegexMatchValues($A40,$B40),COLUMN()-COLUMN($F40))</f>
        <v>#REF!</v>
      </c>
      <c r="N40" s="5" t="s">
        <v>309</v>
      </c>
    </row>
    <row r="41" spans="1:14" ht="27">
      <c r="A41" s="2" t="s">
        <v>592</v>
      </c>
      <c r="B41" s="7" t="s">
        <v>310</v>
      </c>
      <c r="C41" s="7" t="s">
        <v>311</v>
      </c>
      <c r="D41" s="3" t="str">
        <f>HYPERLINK("https://regexper.com/#"&amp;_xlfn.ENCODEURL(テーブル3[[#This Row],[Pattern]]),"Preview")</f>
        <v>Preview</v>
      </c>
      <c r="E41" s="4" t="b">
        <f>RegexIsMatch(テーブル3[[#This Row],[Source]],テーブル3[[#This Row],[Pattern]])</f>
        <v>0</v>
      </c>
      <c r="F41" s="4" t="str">
        <f>RegexReplace(テーブル3[[#This Row],[Source]],テーブル3[[#This Row],[Pattern]],"")</f>
        <v>asd</v>
      </c>
      <c r="G41" s="4" t="e">
        <f>INDEX(RegexMatchValues($A41,$B41),COLUMN()-COLUMN($F41))</f>
        <v>#VALUE!</v>
      </c>
      <c r="H41" s="5" t="e">
        <f>INDEX(RegexMatchValues($A41,$B41),COLUMN()-COLUMN($F41))</f>
        <v>#VALUE!</v>
      </c>
      <c r="I41" s="5" t="e">
        <f>INDEX(RegexMatchValues($A41,$B41),COLUMN()-COLUMN($F41))</f>
        <v>#VALUE!</v>
      </c>
      <c r="J41" s="5" t="e">
        <f>INDEX(RegexMatchValues($A41,$B41),COLUMN()-COLUMN($F41))</f>
        <v>#VALUE!</v>
      </c>
      <c r="K41" s="5" t="e">
        <f>INDEX(RegexMatchValues($A41,$B41),COLUMN()-COLUMN($F41))</f>
        <v>#VALUE!</v>
      </c>
      <c r="L41" s="5" t="e">
        <f>INDEX(RegexMatchValues($A41,$B41),COLUMN()-COLUMN($F41))</f>
        <v>#VALUE!</v>
      </c>
      <c r="N41" s="5" t="s">
        <v>312</v>
      </c>
    </row>
    <row r="42" spans="1:14">
      <c r="A42" s="2" t="s">
        <v>593</v>
      </c>
      <c r="B42" s="7" t="s">
        <v>313</v>
      </c>
      <c r="C42" s="7" t="s">
        <v>314</v>
      </c>
      <c r="D42" s="3" t="str">
        <f>HYPERLINK("https://regexper.com/#"&amp;_xlfn.ENCODEURL(テーブル3[[#This Row],[Pattern]]),"Preview")</f>
        <v>Preview</v>
      </c>
      <c r="E42" s="4" t="b">
        <f>RegexIsMatch(テーブル3[[#This Row],[Source]],テーブル3[[#This Row],[Pattern]])</f>
        <v>1</v>
      </c>
      <c r="F42" s="4" t="str">
        <f>RegexReplace(テーブル3[[#This Row],[Source]],テーブル3[[#This Row],[Pattern]],"")</f>
        <v xml:space="preserve"> </v>
      </c>
      <c r="G42" s="4" t="str">
        <f>INDEX(RegexMatchValues($A42,$B42),COLUMN()-COLUMN($F42))</f>
        <v>a</v>
      </c>
      <c r="H42" s="5" t="str">
        <f>INDEX(RegexMatchValues($A42,$B42),COLUMN()-COLUMN($F42))</f>
        <v>s</v>
      </c>
      <c r="I42" s="5" t="str">
        <f>INDEX(RegexMatchValues($A42,$B42),COLUMN()-COLUMN($F42))</f>
        <v>d</v>
      </c>
      <c r="J42" s="5" t="str">
        <f>INDEX(RegexMatchValues($A42,$B42),COLUMN()-COLUMN($F42))</f>
        <v>f</v>
      </c>
      <c r="K42" s="5" t="str">
        <f>INDEX(RegexMatchValues($A42,$B42),COLUMN()-COLUMN($F42))</f>
        <v>g</v>
      </c>
      <c r="L42" s="5" t="str">
        <f>INDEX(RegexMatchValues($A42,$B42),COLUMN()-COLUMN($F42))</f>
        <v>h</v>
      </c>
      <c r="N42" s="5" t="s">
        <v>315</v>
      </c>
    </row>
    <row r="43" spans="1:14" ht="27">
      <c r="A43" s="2" t="s">
        <v>594</v>
      </c>
      <c r="B43" s="7" t="s">
        <v>79</v>
      </c>
      <c r="C43" s="7" t="s">
        <v>316</v>
      </c>
      <c r="D43" s="3" t="str">
        <f>HYPERLINK("https://regexper.com/#"&amp;_xlfn.ENCODEURL(テーブル3[[#This Row],[Pattern]]),"Preview")</f>
        <v>Preview</v>
      </c>
      <c r="E43" s="4" t="b">
        <f>RegexIsMatch(テーブル3[[#This Row],[Source]],テーブル3[[#This Row],[Pattern]])</f>
        <v>1</v>
      </c>
      <c r="F43" s="4" t="str">
        <f>RegexReplace(テーブル3[[#This Row],[Source]],テーブル3[[#This Row],[Pattern]],"")</f>
        <v>!"#</v>
      </c>
      <c r="G43" s="4" t="str">
        <f>INDEX(RegexMatchValues($A43,$B43),COLUMN()-COLUMN($F43))</f>
        <v>a</v>
      </c>
      <c r="H43" s="5" t="str">
        <f>INDEX(RegexMatchValues($A43,$B43),COLUMN()-COLUMN($F43))</f>
        <v>s</v>
      </c>
      <c r="I43" s="5" t="str">
        <f>INDEX(RegexMatchValues($A43,$B43),COLUMN()-COLUMN($F43))</f>
        <v>d</v>
      </c>
      <c r="J43" s="5" t="str">
        <f>INDEX(RegexMatchValues($A43,$B43),COLUMN()-COLUMN($F43))</f>
        <v>1</v>
      </c>
      <c r="K43" s="5" t="str">
        <f>INDEX(RegexMatchValues($A43,$B43),COLUMN()-COLUMN($F43))</f>
        <v>2</v>
      </c>
      <c r="L43" s="5" t="str">
        <f>INDEX(RegexMatchValues($A43,$B43),COLUMN()-COLUMN($F43))</f>
        <v>3</v>
      </c>
      <c r="N43" s="5" t="s">
        <v>317</v>
      </c>
    </row>
    <row r="44" spans="1:14" ht="27">
      <c r="A44" s="2" t="s">
        <v>594</v>
      </c>
      <c r="B44" s="7" t="s">
        <v>77</v>
      </c>
      <c r="C44" s="7" t="s">
        <v>318</v>
      </c>
      <c r="D44" s="3" t="str">
        <f>HYPERLINK("https://regexper.com/#"&amp;_xlfn.ENCODEURL(テーブル3[[#This Row],[Pattern]]),"Preview")</f>
        <v>Preview</v>
      </c>
      <c r="E44" s="4" t="b">
        <f>RegexIsMatch(テーブル3[[#This Row],[Source]],テーブル3[[#This Row],[Pattern]])</f>
        <v>1</v>
      </c>
      <c r="F44" s="4" t="str">
        <f>RegexReplace(テーブル3[[#This Row],[Source]],テーブル3[[#This Row],[Pattern]],"")</f>
        <v>asd123</v>
      </c>
      <c r="G44" s="4" t="str">
        <f>INDEX(RegexMatchValues($A44,$B44),COLUMN()-COLUMN($F44))</f>
        <v>!</v>
      </c>
      <c r="H44" s="5" t="str">
        <f>INDEX(RegexMatchValues($A44,$B44),COLUMN()-COLUMN($F44))</f>
        <v>"</v>
      </c>
      <c r="I44" s="5" t="str">
        <f>INDEX(RegexMatchValues($A44,$B44),COLUMN()-COLUMN($F44))</f>
        <v>#</v>
      </c>
      <c r="J44" s="5" t="e">
        <f>INDEX(RegexMatchValues($A44,$B44),COLUMN()-COLUMN($F44))</f>
        <v>#REF!</v>
      </c>
      <c r="K44" s="5" t="e">
        <f>INDEX(RegexMatchValues($A44,$B44),COLUMN()-COLUMN($F44))</f>
        <v>#REF!</v>
      </c>
      <c r="L44" s="5" t="e">
        <f>INDEX(RegexMatchValues($A44,$B44),COLUMN()-COLUMN($F44))</f>
        <v>#REF!</v>
      </c>
      <c r="N44" s="5" t="s">
        <v>319</v>
      </c>
    </row>
  </sheetData>
  <phoneticPr fontId="1"/>
  <conditionalFormatting sqref="E5:E44">
    <cfRule type="expression" dxfId="0" priority="1">
      <formula>E5</formula>
    </cfRule>
  </conditionalFormatting>
  <hyperlinks>
    <hyperlink ref="A5" r:id="rId1" xr:uid="{FE0D0221-BB94-4C0C-8AE0-70EAD0F5090D}"/>
    <hyperlink ref="D1" r:id="rId2" xr:uid="{6BED7AB0-B21A-4040-BF33-46BEB15A7F44}"/>
  </hyperlinks>
  <pageMargins left="0.7" right="0.7" top="0.75" bottom="0.75" header="0.3" footer="0.3"/>
  <pageSetup paperSize="9" orientation="portrait"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5ED3A8-0A69-4C9D-9692-4D8D98728883}">
  <sheetPr codeName="Sheet3"/>
  <dimension ref="A1:F23"/>
  <sheetViews>
    <sheetView workbookViewId="0">
      <selection activeCell="I6" sqref="I6"/>
    </sheetView>
  </sheetViews>
  <sheetFormatPr defaultRowHeight="13.5"/>
  <cols>
    <col min="1" max="1" width="10.5" style="12" bestFit="1" customWidth="1"/>
  </cols>
  <sheetData>
    <row r="1" spans="1:6">
      <c r="A1" s="12" t="s">
        <v>582</v>
      </c>
      <c r="B1" s="47" t="s">
        <v>579</v>
      </c>
    </row>
    <row r="2" spans="1:6">
      <c r="A2" s="12" t="s">
        <v>583</v>
      </c>
      <c r="B2" s="47" t="s">
        <v>581</v>
      </c>
    </row>
    <row r="3" spans="1:6">
      <c r="A3" s="12" t="s">
        <v>225</v>
      </c>
      <c r="B3" s="47" t="s">
        <v>580</v>
      </c>
    </row>
    <row r="5" spans="1:6" s="12" customFormat="1">
      <c r="A5" s="40"/>
      <c r="B5" s="43" t="s">
        <v>585</v>
      </c>
      <c r="C5" s="44" t="s">
        <v>586</v>
      </c>
      <c r="D5" s="44" t="s">
        <v>587</v>
      </c>
      <c r="E5" s="44" t="s">
        <v>588</v>
      </c>
      <c r="F5" s="45" t="s">
        <v>589</v>
      </c>
    </row>
    <row r="6" spans="1:6">
      <c r="A6" s="46" t="s">
        <v>584</v>
      </c>
      <c r="B6" s="48" t="str" cm="1">
        <f t="array" ref="B6">INDEX(RegexSubMatches($B$1,$B$2),ROW()-ROW($B$6)+1,COLUMN()-COLUMN($B$6)+1)</f>
        <v>BB</v>
      </c>
      <c r="C6" s="49" t="str" cm="1">
        <f t="array" ref="C6">INDEX(RegexSubMatches($B$1,$B$2),ROW()-ROW($B$6)+1,COLUMN()-COLUMN($B$6)+1)</f>
        <v>001</v>
      </c>
      <c r="D6" s="49" t="e" cm="1">
        <f t="array" ref="D6">INDEX(RegexSubMatches($B$1,$B$2),ROW()-ROW($B$6)+1,COLUMN()-COLUMN($B$6)+1)</f>
        <v>#REF!</v>
      </c>
      <c r="E6" s="49" t="e" cm="1">
        <f t="array" ref="E6">INDEX(RegexSubMatches($B$1,$B$2),ROW()-ROW($B$6)+1,COLUMN()-COLUMN($B$6)+1)</f>
        <v>#REF!</v>
      </c>
      <c r="F6" s="50" t="e" cm="1">
        <f t="array" ref="F6">INDEX(RegexSubMatches($B$1,$B$2),ROW()-ROW($B$6)+1,COLUMN()-COLUMN($B$6)+1)</f>
        <v>#REF!</v>
      </c>
    </row>
    <row r="7" spans="1:6">
      <c r="A7" s="41" t="s">
        <v>20</v>
      </c>
      <c r="B7" s="51" t="str" cm="1">
        <f t="array" ref="B7">INDEX(RegexSubMatches($B$1,$B$2),ROW()-ROW($B$6)+1,COLUMN()-COLUMN($B$6)+1)</f>
        <v>AA</v>
      </c>
      <c r="C7" s="52" t="str" cm="1">
        <f t="array" ref="C7">INDEX(RegexSubMatches($B$1,$B$2),ROW()-ROW($B$6)+1,COLUMN()-COLUMN($B$6)+1)</f>
        <v>202</v>
      </c>
      <c r="D7" s="52" t="e" cm="1">
        <f t="array" ref="D7">INDEX(RegexSubMatches($B$1,$B$2),ROW()-ROW($B$6)+1,COLUMN()-COLUMN($B$6)+1)</f>
        <v>#REF!</v>
      </c>
      <c r="E7" s="52" t="e" cm="1">
        <f t="array" ref="E7">INDEX(RegexSubMatches($B$1,$B$2),ROW()-ROW($B$6)+1,COLUMN()-COLUMN($B$6)+1)</f>
        <v>#REF!</v>
      </c>
      <c r="F7" s="53" t="e" cm="1">
        <f t="array" ref="F7">INDEX(RegexSubMatches($B$1,$B$2),ROW()-ROW($B$6)+1,COLUMN()-COLUMN($B$6)+1)</f>
        <v>#REF!</v>
      </c>
    </row>
    <row r="8" spans="1:6">
      <c r="A8" s="41" t="s">
        <v>21</v>
      </c>
      <c r="B8" s="51" t="str" cm="1">
        <f t="array" ref="B8">INDEX(RegexSubMatches($B$1,$B$2),ROW()-ROW($B$6)+1,COLUMN()-COLUMN($B$6)+1)</f>
        <v>jk</v>
      </c>
      <c r="C8" s="52" t="str" cm="1">
        <f t="array" ref="C8">INDEX(RegexSubMatches($B$1,$B$2),ROW()-ROW($B$6)+1,COLUMN()-COLUMN($B$6)+1)</f>
        <v>345</v>
      </c>
      <c r="D8" s="52" t="e" cm="1">
        <f t="array" ref="D8">INDEX(RegexSubMatches($B$1,$B$2),ROW()-ROW($B$6)+1,COLUMN()-COLUMN($B$6)+1)</f>
        <v>#REF!</v>
      </c>
      <c r="E8" s="52" t="e" cm="1">
        <f t="array" ref="E8">INDEX(RegexSubMatches($B$1,$B$2),ROW()-ROW($B$6)+1,COLUMN()-COLUMN($B$6)+1)</f>
        <v>#REF!</v>
      </c>
      <c r="F8" s="53" t="e" cm="1">
        <f t="array" ref="F8">INDEX(RegexSubMatches($B$1,$B$2),ROW()-ROW($B$6)+1,COLUMN()-COLUMN($B$6)+1)</f>
        <v>#REF!</v>
      </c>
    </row>
    <row r="9" spans="1:6">
      <c r="A9" s="41" t="s">
        <v>22</v>
      </c>
      <c r="B9" s="51" t="str" cm="1">
        <f t="array" ref="B9">INDEX(RegexSubMatches($B$1,$B$2),ROW()-ROW($B$6)+1,COLUMN()-COLUMN($B$6)+1)</f>
        <v>i</v>
      </c>
      <c r="C9" s="52" t="str" cm="1">
        <f t="array" ref="C9">INDEX(RegexSubMatches($B$1,$B$2),ROW()-ROW($B$6)+1,COLUMN()-COLUMN($B$6)+1)</f>
        <v>030</v>
      </c>
      <c r="D9" s="52" t="e" cm="1">
        <f t="array" ref="D9">INDEX(RegexSubMatches($B$1,$B$2),ROW()-ROW($B$6)+1,COLUMN()-COLUMN($B$6)+1)</f>
        <v>#REF!</v>
      </c>
      <c r="E9" s="52" t="e" cm="1">
        <f t="array" ref="E9">INDEX(RegexSubMatches($B$1,$B$2),ROW()-ROW($B$6)+1,COLUMN()-COLUMN($B$6)+1)</f>
        <v>#REF!</v>
      </c>
      <c r="F9" s="53" t="e" cm="1">
        <f t="array" ref="F9">INDEX(RegexSubMatches($B$1,$B$2),ROW()-ROW($B$6)+1,COLUMN()-COLUMN($B$6)+1)</f>
        <v>#REF!</v>
      </c>
    </row>
    <row r="10" spans="1:6">
      <c r="A10" s="41" t="s">
        <v>23</v>
      </c>
      <c r="B10" s="51" t="str" cm="1">
        <f t="array" ref="B10">INDEX(RegexSubMatches($B$1,$B$2),ROW()-ROW($B$6)+1,COLUMN()-COLUMN($B$6)+1)</f>
        <v>X</v>
      </c>
      <c r="C10" s="52" t="str" cm="1">
        <f t="array" ref="C10">INDEX(RegexSubMatches($B$1,$B$2),ROW()-ROW($B$6)+1,COLUMN()-COLUMN($B$6)+1)</f>
        <v>12345</v>
      </c>
      <c r="D10" s="52" t="e" cm="1">
        <f t="array" ref="D10">INDEX(RegexSubMatches($B$1,$B$2),ROW()-ROW($B$6)+1,COLUMN()-COLUMN($B$6)+1)</f>
        <v>#REF!</v>
      </c>
      <c r="E10" s="52" t="e" cm="1">
        <f t="array" ref="E10">INDEX(RegexSubMatches($B$1,$B$2),ROW()-ROW($B$6)+1,COLUMN()-COLUMN($B$6)+1)</f>
        <v>#REF!</v>
      </c>
      <c r="F10" s="53" t="e" cm="1">
        <f t="array" ref="F10">INDEX(RegexSubMatches($B$1,$B$2),ROW()-ROW($B$6)+1,COLUMN()-COLUMN($B$6)+1)</f>
        <v>#REF!</v>
      </c>
    </row>
    <row r="11" spans="1:6">
      <c r="A11" s="42" t="s">
        <v>24</v>
      </c>
      <c r="B11" s="54" t="e" cm="1">
        <f t="array" ref="B11">INDEX(RegexSubMatches($B$1,$B$2),ROW()-ROW($B$6)+1,COLUMN()-COLUMN($B$6)+1)</f>
        <v>#REF!</v>
      </c>
      <c r="C11" s="55" t="e" cm="1">
        <f t="array" ref="C11">INDEX(RegexSubMatches($B$1,$B$2),ROW()-ROW($B$6)+1,COLUMN()-COLUMN($B$6)+1)</f>
        <v>#REF!</v>
      </c>
      <c r="D11" s="55" t="e" cm="1">
        <f t="array" ref="D11">INDEX(RegexSubMatches($B$1,$B$2),ROW()-ROW($B$6)+1,COLUMN()-COLUMN($B$6)+1)</f>
        <v>#REF!</v>
      </c>
      <c r="E11" s="55" t="e" cm="1">
        <f t="array" ref="E11">INDEX(RegexSubMatches($B$1,$B$2),ROW()-ROW($B$6)+1,COLUMN()-COLUMN($B$6)+1)</f>
        <v>#REF!</v>
      </c>
      <c r="F11" s="56" t="e" cm="1">
        <f t="array" ref="F11">INDEX(RegexSubMatches($B$1,$B$2),ROW()-ROW($B$6)+1,COLUMN()-COLUMN($B$6)+1)</f>
        <v>#REF!</v>
      </c>
    </row>
    <row r="13" spans="1:6">
      <c r="A13" s="12" t="s">
        <v>582</v>
      </c>
      <c r="B13" s="47" t="s">
        <v>590</v>
      </c>
    </row>
    <row r="14" spans="1:6">
      <c r="A14" s="12" t="s">
        <v>583</v>
      </c>
      <c r="B14" s="47" t="s">
        <v>581</v>
      </c>
    </row>
    <row r="15" spans="1:6">
      <c r="A15" s="12" t="s">
        <v>225</v>
      </c>
      <c r="B15" s="47" t="s">
        <v>580</v>
      </c>
    </row>
    <row r="17" spans="1:6">
      <c r="A17" s="40"/>
      <c r="B17" s="43" t="s">
        <v>585</v>
      </c>
      <c r="C17" s="44" t="s">
        <v>586</v>
      </c>
      <c r="D17" s="44" t="s">
        <v>587</v>
      </c>
      <c r="E17" s="44" t="s">
        <v>588</v>
      </c>
      <c r="F17" s="45" t="s">
        <v>589</v>
      </c>
    </row>
    <row r="18" spans="1:6">
      <c r="A18" s="46" t="s">
        <v>584</v>
      </c>
      <c r="B18" s="48" t="str" cm="1">
        <f t="array" ref="B18">INDEX(RegexSubMatches($B$13,$B$14),ROW()-ROW($B$18)+1,COLUMN()-COLUMN($B$18)+1)</f>
        <v>a</v>
      </c>
      <c r="C18" s="49" t="str" cm="1">
        <f t="array" ref="C18">INDEX(RegexSubMatches($B$13,$B$14),ROW()-ROW($B$18)+1,COLUMN()-COLUMN($B$18)+1)</f>
        <v>1</v>
      </c>
      <c r="D18" s="49" t="e" cm="1">
        <f t="array" ref="D18">INDEX(RegexSubMatches($B$13,$B$14),ROW()-ROW($B$18)+1,COLUMN()-COLUMN($B$18)+1)</f>
        <v>#REF!</v>
      </c>
      <c r="E18" s="49" t="e" cm="1">
        <f t="array" ref="E18">INDEX(RegexSubMatches($B$13,$B$14),ROW()-ROW($B$18)+1,COLUMN()-COLUMN($B$18)+1)</f>
        <v>#REF!</v>
      </c>
      <c r="F18" s="50" t="e" cm="1">
        <f t="array" ref="F18">INDEX(RegexSubMatches($B$13,$B$14),ROW()-ROW($B$18)+1,COLUMN()-COLUMN($B$18)+1)</f>
        <v>#REF!</v>
      </c>
    </row>
    <row r="19" spans="1:6">
      <c r="A19" s="41" t="s">
        <v>20</v>
      </c>
      <c r="B19" s="51" t="str" cm="1">
        <f t="array" ref="B19">INDEX(RegexSubMatches($B$13,$B$14),ROW()-ROW($B$18)+1,COLUMN()-COLUMN($B$18)+1)</f>
        <v>bc</v>
      </c>
      <c r="C19" s="52" t="str" cm="1">
        <f t="array" ref="C19">INDEX(RegexSubMatches($B$13,$B$14),ROW()-ROW($B$18)+1,COLUMN()-COLUMN($B$18)+1)</f>
        <v>2</v>
      </c>
      <c r="D19" s="52" t="e" cm="1">
        <f t="array" ref="D19">INDEX(RegexSubMatches($B$13,$B$14),ROW()-ROW($B$18)+1,COLUMN()-COLUMN($B$18)+1)</f>
        <v>#REF!</v>
      </c>
      <c r="E19" s="52" t="e" cm="1">
        <f t="array" ref="E19">INDEX(RegexSubMatches($B$13,$B$14),ROW()-ROW($B$18)+1,COLUMN()-COLUMN($B$18)+1)</f>
        <v>#REF!</v>
      </c>
      <c r="F19" s="53" t="e" cm="1">
        <f t="array" ref="F19">INDEX(RegexSubMatches($B$13,$B$14),ROW()-ROW($B$18)+1,COLUMN()-COLUMN($B$18)+1)</f>
        <v>#REF!</v>
      </c>
    </row>
    <row r="20" spans="1:6">
      <c r="A20" s="41" t="s">
        <v>21</v>
      </c>
      <c r="B20" s="51" t="str" cm="1">
        <f t="array" ref="B20">INDEX(RegexSubMatches($B$13,$B$14),ROW()-ROW($B$18)+1,COLUMN()-COLUMN($B$18)+1)</f>
        <v>f</v>
      </c>
      <c r="C20" s="52" t="str" cm="1">
        <f t="array" ref="C20">INDEX(RegexSubMatches($B$13,$B$14),ROW()-ROW($B$18)+1,COLUMN()-COLUMN($B$18)+1)</f>
        <v>456</v>
      </c>
      <c r="D20" s="52" t="e" cm="1">
        <f t="array" ref="D20">INDEX(RegexSubMatches($B$13,$B$14),ROW()-ROW($B$18)+1,COLUMN()-COLUMN($B$18)+1)</f>
        <v>#REF!</v>
      </c>
      <c r="E20" s="52" t="e" cm="1">
        <f t="array" ref="E20">INDEX(RegexSubMatches($B$13,$B$14),ROW()-ROW($B$18)+1,COLUMN()-COLUMN($B$18)+1)</f>
        <v>#REF!</v>
      </c>
      <c r="F20" s="53" t="e" cm="1">
        <f t="array" ref="F20">INDEX(RegexSubMatches($B$13,$B$14),ROW()-ROW($B$18)+1,COLUMN()-COLUMN($B$18)+1)</f>
        <v>#REF!</v>
      </c>
    </row>
    <row r="21" spans="1:6">
      <c r="A21" s="41" t="s">
        <v>22</v>
      </c>
      <c r="B21" s="51" t="e" cm="1">
        <f t="array" ref="B21">INDEX(RegexSubMatches($B$13,$B$14),ROW()-ROW($B$18)+1,COLUMN()-COLUMN($B$18)+1)</f>
        <v>#REF!</v>
      </c>
      <c r="C21" s="52" t="e" cm="1">
        <f t="array" ref="C21">INDEX(RegexSubMatches($B$13,$B$14),ROW()-ROW($B$18)+1,COLUMN()-COLUMN($B$18)+1)</f>
        <v>#REF!</v>
      </c>
      <c r="D21" s="52" t="e" cm="1">
        <f t="array" ref="D21">INDEX(RegexSubMatches($B$13,$B$14),ROW()-ROW($B$18)+1,COLUMN()-COLUMN($B$18)+1)</f>
        <v>#REF!</v>
      </c>
      <c r="E21" s="52" t="e" cm="1">
        <f t="array" ref="E21">INDEX(RegexSubMatches($B$13,$B$14),ROW()-ROW($B$18)+1,COLUMN()-COLUMN($B$18)+1)</f>
        <v>#REF!</v>
      </c>
      <c r="F21" s="53" t="e" cm="1">
        <f t="array" ref="F21">INDEX(RegexSubMatches($B$13,$B$14),ROW()-ROW($B$18)+1,COLUMN()-COLUMN($B$18)+1)</f>
        <v>#REF!</v>
      </c>
    </row>
    <row r="22" spans="1:6">
      <c r="A22" s="41" t="s">
        <v>23</v>
      </c>
      <c r="B22" s="51" t="e" cm="1">
        <f t="array" ref="B22">INDEX(RegexSubMatches($B$13,$B$14),ROW()-ROW($B$18)+1,COLUMN()-COLUMN($B$18)+1)</f>
        <v>#REF!</v>
      </c>
      <c r="C22" s="52" t="e" cm="1">
        <f t="array" ref="C22">INDEX(RegexSubMatches($B$13,$B$14),ROW()-ROW($B$18)+1,COLUMN()-COLUMN($B$18)+1)</f>
        <v>#REF!</v>
      </c>
      <c r="D22" s="52" t="e" cm="1">
        <f t="array" ref="D22">INDEX(RegexSubMatches($B$13,$B$14),ROW()-ROW($B$18)+1,COLUMN()-COLUMN($B$18)+1)</f>
        <v>#REF!</v>
      </c>
      <c r="E22" s="52" t="e" cm="1">
        <f t="array" ref="E22">INDEX(RegexSubMatches($B$13,$B$14),ROW()-ROW($B$18)+1,COLUMN()-COLUMN($B$18)+1)</f>
        <v>#REF!</v>
      </c>
      <c r="F22" s="53" t="e" cm="1">
        <f t="array" ref="F22">INDEX(RegexSubMatches($B$13,$B$14),ROW()-ROW($B$18)+1,COLUMN()-COLUMN($B$18)+1)</f>
        <v>#REF!</v>
      </c>
    </row>
    <row r="23" spans="1:6">
      <c r="A23" s="42" t="s">
        <v>24</v>
      </c>
      <c r="B23" s="54" t="e" cm="1">
        <f t="array" ref="B23">INDEX(RegexSubMatches($B$13,$B$14),ROW()-ROW($B$18)+1,COLUMN()-COLUMN($B$18)+1)</f>
        <v>#REF!</v>
      </c>
      <c r="C23" s="55" t="e" cm="1">
        <f t="array" ref="C23">INDEX(RegexSubMatches($B$13,$B$14),ROW()-ROW($B$18)+1,COLUMN()-COLUMN($B$18)+1)</f>
        <v>#REF!</v>
      </c>
      <c r="D23" s="55" t="e" cm="1">
        <f t="array" ref="D23">INDEX(RegexSubMatches($B$13,$B$14),ROW()-ROW($B$18)+1,COLUMN()-COLUMN($B$18)+1)</f>
        <v>#REF!</v>
      </c>
      <c r="E23" s="55" t="e" cm="1">
        <f t="array" ref="E23">INDEX(RegexSubMatches($B$13,$B$14),ROW()-ROW($B$18)+1,COLUMN()-COLUMN($B$18)+1)</f>
        <v>#REF!</v>
      </c>
      <c r="F23" s="56" t="e" cm="1">
        <f t="array" ref="F23">INDEX(RegexSubMatches($B$13,$B$14),ROW()-ROW($B$18)+1,COLUMN()-COLUMN($B$18)+1)</f>
        <v>#REF!</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0954A-7F2F-4635-849A-5B5B410B472B}">
  <sheetPr codeName="Sheet1"/>
  <dimension ref="C1:H439"/>
  <sheetViews>
    <sheetView workbookViewId="0">
      <selection activeCell="D15" sqref="D15"/>
    </sheetView>
  </sheetViews>
  <sheetFormatPr defaultRowHeight="13.5"/>
  <cols>
    <col min="3" max="3" width="16" customWidth="1"/>
    <col min="4" max="4" width="57.5" bestFit="1" customWidth="1"/>
    <col min="5" max="5" width="11.25" bestFit="1" customWidth="1"/>
    <col min="6" max="6" width="9.375" bestFit="1" customWidth="1"/>
    <col min="7" max="7" width="90.25" bestFit="1" customWidth="1"/>
    <col min="8" max="8" width="26.875" bestFit="1" customWidth="1"/>
  </cols>
  <sheetData>
    <row r="1" spans="3:8">
      <c r="C1" s="39" t="s">
        <v>578</v>
      </c>
    </row>
    <row r="2" spans="3:8" ht="32.25">
      <c r="C2" s="10" t="s">
        <v>276</v>
      </c>
    </row>
    <row r="4" spans="3:8" ht="14.25" thickBot="1">
      <c r="C4" s="57" t="s">
        <v>276</v>
      </c>
      <c r="D4" s="58"/>
      <c r="E4" s="58"/>
      <c r="F4" s="58"/>
    </row>
    <row r="5" spans="3:8" ht="27.75" thickBot="1">
      <c r="C5" s="11" t="s">
        <v>277</v>
      </c>
      <c r="D5" s="11" t="s">
        <v>278</v>
      </c>
      <c r="E5" s="11" t="s">
        <v>279</v>
      </c>
      <c r="F5" s="11" t="s">
        <v>280</v>
      </c>
    </row>
    <row r="6" spans="3:8">
      <c r="C6" s="59" t="s">
        <v>1</v>
      </c>
      <c r="D6" s="61" t="s">
        <v>281</v>
      </c>
      <c r="E6" s="63" t="s">
        <v>1</v>
      </c>
      <c r="F6" s="13" t="s">
        <v>241</v>
      </c>
      <c r="H6" t="str">
        <f>D6</f>
        <v>任意の１文字 にマッチします。</v>
      </c>
    </row>
    <row r="7" spans="3:8" ht="14.25" thickBot="1">
      <c r="C7" s="60"/>
      <c r="D7" s="62"/>
      <c r="E7" s="64"/>
      <c r="F7" s="14" t="s">
        <v>242</v>
      </c>
      <c r="G7" t="str">
        <f t="shared" ref="G7" si="0">D6&amp;D7</f>
        <v>任意の１文字 にマッチします。</v>
      </c>
    </row>
    <row r="8" spans="3:8">
      <c r="C8" s="59" t="s">
        <v>60</v>
      </c>
      <c r="D8" s="15" t="s">
        <v>282</v>
      </c>
      <c r="E8" s="63" t="s">
        <v>243</v>
      </c>
      <c r="F8" s="13" t="s">
        <v>244</v>
      </c>
    </row>
    <row r="9" spans="3:8" ht="14.25" thickBot="1">
      <c r="C9" s="60"/>
      <c r="D9" s="16" t="s">
        <v>283</v>
      </c>
      <c r="E9" s="64"/>
      <c r="F9" s="17" t="s">
        <v>245</v>
      </c>
      <c r="G9" t="str">
        <f>D8&amp;D9</f>
        <v>直前の文字が １回以上 繰り返す場合にマッチします。最長一致。条件に合う最長の部分に一致します。</v>
      </c>
    </row>
    <row r="10" spans="3:8">
      <c r="C10" s="59" t="s">
        <v>62</v>
      </c>
      <c r="D10" s="15" t="s">
        <v>284</v>
      </c>
      <c r="E10" s="63" t="s">
        <v>246</v>
      </c>
      <c r="F10" s="13" t="s">
        <v>247</v>
      </c>
    </row>
    <row r="11" spans="3:8" ht="14.25" thickBot="1">
      <c r="C11" s="60"/>
      <c r="D11" s="16" t="s">
        <v>283</v>
      </c>
      <c r="E11" s="64"/>
      <c r="F11" s="17" t="s">
        <v>245</v>
      </c>
      <c r="G11" t="str">
        <f t="shared" ref="G11" si="1">D10&amp;D11</f>
        <v>直前の文字が ０回以上 繰り返す場合にマッチします。最長一致。条件に合う最長の部分に一致します。</v>
      </c>
    </row>
    <row r="12" spans="3:8">
      <c r="C12" s="59" t="s">
        <v>248</v>
      </c>
      <c r="D12" s="15" t="s">
        <v>285</v>
      </c>
      <c r="E12" s="63" t="s">
        <v>249</v>
      </c>
      <c r="F12" s="13" t="s">
        <v>247</v>
      </c>
    </row>
    <row r="13" spans="3:8" ht="14.25" thickBot="1">
      <c r="C13" s="60"/>
      <c r="D13" s="16" t="s">
        <v>283</v>
      </c>
      <c r="E13" s="64"/>
      <c r="F13" s="17" t="s">
        <v>244</v>
      </c>
      <c r="G13" t="str">
        <f t="shared" ref="G13" si="2">D12&amp;D13</f>
        <v>直前の文字が ０個か１個 の場合にマッチします。最長一致。条件に合う最長の部分に一致します。</v>
      </c>
    </row>
    <row r="14" spans="3:8">
      <c r="C14" s="59" t="s">
        <v>250</v>
      </c>
      <c r="D14" s="15" t="s">
        <v>282</v>
      </c>
      <c r="E14" s="63" t="s">
        <v>251</v>
      </c>
      <c r="F14" s="13" t="s">
        <v>244</v>
      </c>
    </row>
    <row r="15" spans="3:8" ht="14.25" thickBot="1">
      <c r="C15" s="60"/>
      <c r="D15" s="16" t="s">
        <v>286</v>
      </c>
      <c r="E15" s="64"/>
      <c r="F15" s="17" t="s">
        <v>245</v>
      </c>
      <c r="G15" t="str">
        <f t="shared" ref="G15" si="3">D14&amp;D15</f>
        <v>直前の文字が １回以上 繰り返す場合にマッチします。最短一致。条件に合う最短の部分に一致します。</v>
      </c>
    </row>
    <row r="16" spans="3:8">
      <c r="C16" s="59" t="s">
        <v>252</v>
      </c>
      <c r="D16" s="15" t="s">
        <v>284</v>
      </c>
      <c r="E16" s="63" t="s">
        <v>253</v>
      </c>
      <c r="F16" s="13" t="s">
        <v>247</v>
      </c>
    </row>
    <row r="17" spans="3:7" ht="14.25" thickBot="1">
      <c r="C17" s="60"/>
      <c r="D17" s="16" t="s">
        <v>286</v>
      </c>
      <c r="E17" s="64"/>
      <c r="F17" s="17" t="s">
        <v>245</v>
      </c>
      <c r="G17" t="str">
        <f t="shared" ref="G17" si="4">D16&amp;D17</f>
        <v>直前の文字が ０回以上 繰り返す場合にマッチします。最短一致。条件に合う最短の部分に一致します。</v>
      </c>
    </row>
    <row r="18" spans="3:7">
      <c r="C18" s="59" t="s">
        <v>254</v>
      </c>
      <c r="D18" s="15" t="s">
        <v>285</v>
      </c>
      <c r="E18" s="63" t="s">
        <v>255</v>
      </c>
      <c r="F18" s="13" t="s">
        <v>247</v>
      </c>
    </row>
    <row r="19" spans="3:7" ht="14.25" thickBot="1">
      <c r="C19" s="60"/>
      <c r="D19" s="16" t="s">
        <v>286</v>
      </c>
      <c r="E19" s="64"/>
      <c r="F19" s="17" t="s">
        <v>244</v>
      </c>
      <c r="G19" t="str">
        <f t="shared" ref="G19" si="5">D18&amp;D19</f>
        <v>直前の文字が ０個か１個 の場合にマッチします。最短一致。条件に合う最短の部分に一致します。</v>
      </c>
    </row>
    <row r="20" spans="3:7">
      <c r="C20" s="65" t="s">
        <v>45</v>
      </c>
      <c r="D20" s="61" t="s">
        <v>287</v>
      </c>
      <c r="E20" s="63" t="s">
        <v>256</v>
      </c>
      <c r="F20" s="13" t="s">
        <v>257</v>
      </c>
    </row>
    <row r="21" spans="3:7" ht="14.25" thickBot="1">
      <c r="C21" s="66"/>
      <c r="D21" s="62"/>
      <c r="E21" s="64"/>
      <c r="F21" s="17" t="s">
        <v>258</v>
      </c>
      <c r="G21" t="str">
        <f t="shared" ref="G21" si="6">D20&amp;D21</f>
        <v>いずれかの条件 (OR条件) として使われます。</v>
      </c>
    </row>
    <row r="22" spans="3:7">
      <c r="C22" s="59" t="s">
        <v>259</v>
      </c>
      <c r="D22" s="67" t="s">
        <v>288</v>
      </c>
      <c r="E22" s="63" t="s">
        <v>260</v>
      </c>
      <c r="F22" s="63" t="s">
        <v>243</v>
      </c>
    </row>
    <row r="23" spans="3:7" ht="14.25" thickBot="1">
      <c r="C23" s="60"/>
      <c r="D23" s="68"/>
      <c r="E23" s="64"/>
      <c r="F23" s="64"/>
      <c r="G23" t="str">
        <f t="shared" ref="G23" si="7">D22&amp;D23</f>
        <v>直後の正規表現記号を エスケープ します。</v>
      </c>
    </row>
    <row r="24" spans="3:7">
      <c r="C24" s="59" t="s">
        <v>75</v>
      </c>
      <c r="D24" s="67" t="s">
        <v>289</v>
      </c>
      <c r="E24" s="13" t="s">
        <v>261</v>
      </c>
      <c r="F24" s="63" t="s">
        <v>263</v>
      </c>
    </row>
    <row r="25" spans="3:7" ht="14.25" thickBot="1">
      <c r="C25" s="60"/>
      <c r="D25" s="68"/>
      <c r="E25" s="17" t="s">
        <v>262</v>
      </c>
      <c r="F25" s="64"/>
      <c r="G25" t="str">
        <f t="shared" ref="G25" si="8">D24&amp;D25</f>
        <v>角括弧に含まれるいずれか１文字にマッチします。</v>
      </c>
    </row>
    <row r="26" spans="3:7">
      <c r="C26" s="59" t="s">
        <v>72</v>
      </c>
      <c r="D26" s="67" t="s">
        <v>290</v>
      </c>
      <c r="E26" s="13" t="s">
        <v>264</v>
      </c>
      <c r="F26" s="13" t="s">
        <v>263</v>
      </c>
    </row>
    <row r="27" spans="3:7" ht="27.75" thickBot="1">
      <c r="C27" s="60"/>
      <c r="D27" s="68"/>
      <c r="E27" s="17" t="s">
        <v>265</v>
      </c>
      <c r="F27" s="14" t="s">
        <v>266</v>
      </c>
      <c r="G27" t="str">
        <f t="shared" ref="G27" si="9">D26&amp;D27</f>
        <v>角括弧に含まれる文字以外にマッチします。</v>
      </c>
    </row>
    <row r="28" spans="3:7">
      <c r="C28" s="59" t="s">
        <v>267</v>
      </c>
      <c r="D28" s="67" t="s">
        <v>291</v>
      </c>
      <c r="E28" s="63" t="s">
        <v>256</v>
      </c>
      <c r="F28" s="13" t="s">
        <v>257</v>
      </c>
    </row>
    <row r="29" spans="3:7" ht="14.25" thickBot="1">
      <c r="C29" s="60"/>
      <c r="D29" s="68"/>
      <c r="E29" s="64"/>
      <c r="F29" s="17" t="s">
        <v>258</v>
      </c>
      <c r="G29" t="str">
        <f t="shared" ref="G29" si="10">D28&amp;D29</f>
        <v>文字を１つのグループにまとめることができます。</v>
      </c>
    </row>
    <row r="30" spans="3:7">
      <c r="C30" s="59" t="s">
        <v>57</v>
      </c>
      <c r="D30" s="67" t="s">
        <v>292</v>
      </c>
      <c r="E30" s="63" t="s">
        <v>268</v>
      </c>
      <c r="F30" s="63" t="s">
        <v>269</v>
      </c>
    </row>
    <row r="31" spans="3:7" ht="14.25" thickBot="1">
      <c r="C31" s="60"/>
      <c r="D31" s="68"/>
      <c r="E31" s="64"/>
      <c r="F31" s="64"/>
      <c r="G31" t="str">
        <f t="shared" ref="G31" si="11">D30&amp;D31</f>
        <v>直前の文字の桁数を指定できます。</v>
      </c>
    </row>
    <row r="32" spans="3:7">
      <c r="C32" s="59" t="s">
        <v>54</v>
      </c>
      <c r="D32" s="67" t="s">
        <v>293</v>
      </c>
      <c r="E32" s="63" t="s">
        <v>270</v>
      </c>
      <c r="F32" s="13" t="s">
        <v>269</v>
      </c>
    </row>
    <row r="33" spans="3:7" ht="14.25" thickBot="1">
      <c r="C33" s="60"/>
      <c r="D33" s="68"/>
      <c r="E33" s="64"/>
      <c r="F33" s="17" t="s">
        <v>271</v>
      </c>
      <c r="G33" t="str">
        <f t="shared" ref="G33" si="12">D32&amp;D33</f>
        <v>直前の文字の最小桁数のみ指定できます。</v>
      </c>
    </row>
    <row r="34" spans="3:7">
      <c r="C34" s="59" t="s">
        <v>48</v>
      </c>
      <c r="D34" s="15" t="s">
        <v>294</v>
      </c>
      <c r="E34" s="63" t="s">
        <v>272</v>
      </c>
      <c r="F34" s="13" t="s">
        <v>269</v>
      </c>
    </row>
    <row r="35" spans="3:7" ht="14.25" thickBot="1">
      <c r="C35" s="60"/>
      <c r="D35" s="16" t="s">
        <v>283</v>
      </c>
      <c r="E35" s="64"/>
      <c r="F35" s="17" t="s">
        <v>273</v>
      </c>
      <c r="G35" t="str">
        <f t="shared" ref="G35" si="13">D34&amp;D35</f>
        <v>直前の文字の最小桁数と最大桁数を指定できます。最長一致。条件に合う最長の部分に一致します。</v>
      </c>
    </row>
    <row r="36" spans="3:7">
      <c r="C36" s="59" t="s">
        <v>274</v>
      </c>
      <c r="D36" s="15" t="s">
        <v>294</v>
      </c>
      <c r="E36" s="63" t="s">
        <v>275</v>
      </c>
      <c r="F36" s="13" t="s">
        <v>269</v>
      </c>
    </row>
    <row r="37" spans="3:7" ht="14.25" thickBot="1">
      <c r="C37" s="60"/>
      <c r="D37" s="16" t="s">
        <v>286</v>
      </c>
      <c r="E37" s="64"/>
      <c r="F37" s="17" t="s">
        <v>273</v>
      </c>
      <c r="G37" t="str">
        <f t="shared" ref="G37" si="14">D36&amp;D37</f>
        <v>直前の文字の最小桁数と最大桁数を指定できます。最短一致。条件に合う最短の部分に一致します。</v>
      </c>
    </row>
    <row r="38" spans="3:7" ht="14.25" thickBot="1">
      <c r="C38" s="69" t="s">
        <v>295</v>
      </c>
      <c r="D38" s="70"/>
      <c r="E38" s="70"/>
    </row>
    <row r="39" spans="3:7" ht="27.75" thickBot="1">
      <c r="C39" s="11" t="s">
        <v>277</v>
      </c>
      <c r="D39" s="11" t="s">
        <v>278</v>
      </c>
      <c r="E39" s="11" t="s">
        <v>296</v>
      </c>
    </row>
    <row r="40" spans="3:7" ht="14.25" thickBot="1">
      <c r="C40" s="18" t="s">
        <v>297</v>
      </c>
      <c r="D40" s="19" t="s">
        <v>298</v>
      </c>
      <c r="E40" s="19" t="s">
        <v>299</v>
      </c>
    </row>
    <row r="41" spans="3:7" ht="14.25" thickBot="1">
      <c r="C41" s="18" t="s">
        <v>300</v>
      </c>
      <c r="D41" s="19" t="s">
        <v>301</v>
      </c>
      <c r="E41" s="19" t="s">
        <v>299</v>
      </c>
    </row>
    <row r="42" spans="3:7" ht="14.25" thickBot="1">
      <c r="C42" s="18" t="s">
        <v>302</v>
      </c>
      <c r="D42" s="19" t="s">
        <v>303</v>
      </c>
      <c r="E42" s="19" t="s">
        <v>299</v>
      </c>
    </row>
    <row r="43" spans="3:7" ht="14.25" thickBot="1">
      <c r="C43" s="18" t="s">
        <v>304</v>
      </c>
      <c r="D43" s="19" t="s">
        <v>305</v>
      </c>
      <c r="E43" s="20" t="s">
        <v>306</v>
      </c>
    </row>
    <row r="44" spans="3:7" ht="14.25" thickBot="1">
      <c r="C44" s="18" t="s">
        <v>307</v>
      </c>
      <c r="D44" s="19" t="s">
        <v>308</v>
      </c>
      <c r="E44" s="20" t="s">
        <v>309</v>
      </c>
    </row>
    <row r="45" spans="3:7" ht="14.25" thickBot="1">
      <c r="C45" s="18" t="s">
        <v>310</v>
      </c>
      <c r="D45" s="19" t="s">
        <v>311</v>
      </c>
      <c r="E45" s="20" t="s">
        <v>312</v>
      </c>
    </row>
    <row r="46" spans="3:7" ht="14.25" thickBot="1">
      <c r="C46" s="18" t="s">
        <v>313</v>
      </c>
      <c r="D46" s="19" t="s">
        <v>314</v>
      </c>
      <c r="E46" s="20" t="s">
        <v>315</v>
      </c>
    </row>
    <row r="47" spans="3:7" ht="14.25" thickBot="1">
      <c r="C47" s="18" t="s">
        <v>79</v>
      </c>
      <c r="D47" s="19" t="s">
        <v>316</v>
      </c>
      <c r="E47" s="20" t="s">
        <v>317</v>
      </c>
    </row>
    <row r="48" spans="3:7" ht="26.25" thickBot="1">
      <c r="C48" s="18" t="s">
        <v>77</v>
      </c>
      <c r="D48" s="19" t="s">
        <v>318</v>
      </c>
      <c r="E48" s="20" t="s">
        <v>319</v>
      </c>
    </row>
    <row r="49" spans="3:6" ht="14.25" thickBot="1">
      <c r="C49" s="57" t="s">
        <v>320</v>
      </c>
      <c r="D49" s="58"/>
      <c r="E49" s="58"/>
      <c r="F49" s="58"/>
    </row>
    <row r="50" spans="3:6" ht="27.75" thickBot="1">
      <c r="C50" s="11" t="s">
        <v>277</v>
      </c>
      <c r="D50" s="11" t="s">
        <v>278</v>
      </c>
      <c r="E50" s="11" t="s">
        <v>279</v>
      </c>
      <c r="F50" s="11" t="s">
        <v>280</v>
      </c>
    </row>
    <row r="51" spans="3:6" ht="14.25" thickBot="1">
      <c r="C51" s="18" t="s">
        <v>92</v>
      </c>
      <c r="D51" s="19" t="s">
        <v>321</v>
      </c>
      <c r="E51" s="20" t="s">
        <v>322</v>
      </c>
      <c r="F51" s="20" t="s">
        <v>323</v>
      </c>
    </row>
    <row r="52" spans="3:6" ht="14.25" thickBot="1">
      <c r="C52" s="18" t="s">
        <v>89</v>
      </c>
      <c r="D52" s="19" t="s">
        <v>324</v>
      </c>
      <c r="E52" s="20" t="s">
        <v>325</v>
      </c>
      <c r="F52" s="20" t="s">
        <v>326</v>
      </c>
    </row>
    <row r="53" spans="3:6" ht="14.25" thickBot="1">
      <c r="C53" s="18" t="s">
        <v>86</v>
      </c>
      <c r="D53" s="19" t="s">
        <v>327</v>
      </c>
      <c r="E53" s="20" t="s">
        <v>86</v>
      </c>
      <c r="F53" s="20" t="s">
        <v>328</v>
      </c>
    </row>
    <row r="54" spans="3:6" ht="14.25" thickBot="1">
      <c r="C54" s="18" t="s">
        <v>83</v>
      </c>
      <c r="D54" s="19" t="s">
        <v>329</v>
      </c>
      <c r="E54" s="20" t="s">
        <v>83</v>
      </c>
      <c r="F54" s="20" t="s">
        <v>330</v>
      </c>
    </row>
    <row r="55" spans="3:6" ht="14.25" thickBot="1">
      <c r="C55" s="18" t="s">
        <v>331</v>
      </c>
      <c r="D55" s="19" t="s">
        <v>332</v>
      </c>
      <c r="E55" s="20" t="s">
        <v>331</v>
      </c>
      <c r="F55" s="20" t="s">
        <v>333</v>
      </c>
    </row>
    <row r="56" spans="3:6" ht="14.25" thickBot="1">
      <c r="C56" s="18" t="s">
        <v>334</v>
      </c>
      <c r="D56" s="19" t="s">
        <v>335</v>
      </c>
      <c r="E56" s="20" t="s">
        <v>334</v>
      </c>
      <c r="F56" s="20" t="s">
        <v>257</v>
      </c>
    </row>
    <row r="57" spans="3:6" ht="14.25" thickBot="1">
      <c r="C57" s="18" t="s">
        <v>336</v>
      </c>
      <c r="D57" s="19" t="s">
        <v>337</v>
      </c>
      <c r="E57" s="20" t="s">
        <v>336</v>
      </c>
      <c r="F57" s="20" t="s">
        <v>299</v>
      </c>
    </row>
    <row r="58" spans="3:6" ht="14.25" thickBot="1">
      <c r="C58" s="18" t="s">
        <v>338</v>
      </c>
      <c r="D58" s="19" t="s">
        <v>339</v>
      </c>
      <c r="E58" s="20" t="s">
        <v>338</v>
      </c>
      <c r="F58" s="20" t="s">
        <v>299</v>
      </c>
    </row>
    <row r="59" spans="3:6" ht="14.25" thickBot="1">
      <c r="C59" s="18" t="s">
        <v>340</v>
      </c>
      <c r="D59" s="19" t="s">
        <v>341</v>
      </c>
      <c r="E59" s="20" t="s">
        <v>340</v>
      </c>
      <c r="F59" s="20" t="s">
        <v>299</v>
      </c>
    </row>
    <row r="60" spans="3:6" ht="14.25" thickBot="1">
      <c r="C60" s="69" t="s">
        <v>342</v>
      </c>
      <c r="D60" s="70"/>
    </row>
    <row r="61" spans="3:6" ht="14.25" thickBot="1">
      <c r="C61" s="11" t="s">
        <v>277</v>
      </c>
      <c r="D61" s="11" t="s">
        <v>278</v>
      </c>
    </row>
    <row r="62" spans="3:6" ht="14.25" thickBot="1">
      <c r="C62" s="21">
        <v>0</v>
      </c>
      <c r="D62" s="19" t="s">
        <v>343</v>
      </c>
    </row>
    <row r="63" spans="3:6" ht="14.25" thickBot="1">
      <c r="C63" s="20" t="s">
        <v>344</v>
      </c>
      <c r="D63" s="19" t="s">
        <v>345</v>
      </c>
    </row>
    <row r="64" spans="3:6" ht="14.25" thickBot="1">
      <c r="C64" s="20" t="s">
        <v>346</v>
      </c>
      <c r="D64" s="19" t="s">
        <v>347</v>
      </c>
    </row>
    <row r="65" spans="3:4" ht="14.25" thickBot="1">
      <c r="C65" s="20" t="s">
        <v>348</v>
      </c>
      <c r="D65" s="19" t="s">
        <v>349</v>
      </c>
    </row>
    <row r="66" spans="3:4" ht="14.25" thickBot="1">
      <c r="C66" s="20" t="s">
        <v>350</v>
      </c>
      <c r="D66" s="19" t="s">
        <v>351</v>
      </c>
    </row>
    <row r="67" spans="3:4" ht="14.25" thickBot="1">
      <c r="C67" s="20" t="s">
        <v>352</v>
      </c>
      <c r="D67" s="19" t="s">
        <v>353</v>
      </c>
    </row>
    <row r="69" spans="3:4" ht="32.25">
      <c r="C69" s="10" t="s">
        <v>354</v>
      </c>
    </row>
    <row r="71" spans="3:4">
      <c r="C71" s="12" t="s">
        <v>355</v>
      </c>
    </row>
    <row r="72" spans="3:4">
      <c r="C72" s="22"/>
    </row>
    <row r="73" spans="3:4">
      <c r="C73" s="23" t="s">
        <v>356</v>
      </c>
    </row>
    <row r="74" spans="3:4" ht="14.25" thickBot="1">
      <c r="C74" s="22"/>
    </row>
    <row r="75" spans="3:4" ht="14.25" thickBot="1">
      <c r="C75" s="11" t="s">
        <v>357</v>
      </c>
      <c r="D75" s="11" t="s">
        <v>278</v>
      </c>
    </row>
    <row r="76" spans="3:4" ht="14.25" thickBot="1">
      <c r="C76" s="20" t="s">
        <v>1</v>
      </c>
      <c r="D76" s="19" t="s">
        <v>358</v>
      </c>
    </row>
    <row r="77" spans="3:4">
      <c r="C77" s="12" t="s">
        <v>359</v>
      </c>
    </row>
    <row r="78" spans="3:4">
      <c r="C78" s="22"/>
    </row>
    <row r="79" spans="3:4">
      <c r="C79" s="23" t="s">
        <v>360</v>
      </c>
    </row>
    <row r="80" spans="3:4" ht="14.25" thickBot="1">
      <c r="C80" s="22"/>
    </row>
    <row r="81" spans="3:4" ht="14.25" thickBot="1">
      <c r="C81" s="11" t="s">
        <v>357</v>
      </c>
      <c r="D81" s="11" t="s">
        <v>278</v>
      </c>
    </row>
    <row r="82" spans="3:4" ht="14.25" thickBot="1">
      <c r="C82" s="20" t="s">
        <v>1</v>
      </c>
      <c r="D82" s="19" t="s">
        <v>358</v>
      </c>
    </row>
    <row r="83" spans="3:4" ht="14.25" thickBot="1">
      <c r="C83" s="20" t="s">
        <v>62</v>
      </c>
      <c r="D83" s="19" t="s">
        <v>361</v>
      </c>
    </row>
    <row r="84" spans="3:4">
      <c r="C84" s="12" t="s">
        <v>362</v>
      </c>
    </row>
    <row r="85" spans="3:4">
      <c r="C85" s="22"/>
    </row>
    <row r="86" spans="3:4">
      <c r="C86" s="23" t="s">
        <v>363</v>
      </c>
    </row>
    <row r="87" spans="3:4" ht="14.25" thickBot="1">
      <c r="C87" s="22"/>
    </row>
    <row r="88" spans="3:4" ht="14.25" thickBot="1">
      <c r="C88" s="11" t="s">
        <v>357</v>
      </c>
      <c r="D88" s="11" t="s">
        <v>278</v>
      </c>
    </row>
    <row r="89" spans="3:4" ht="14.25" thickBot="1">
      <c r="C89" s="20" t="s">
        <v>1</v>
      </c>
      <c r="D89" s="19" t="s">
        <v>358</v>
      </c>
    </row>
    <row r="90" spans="3:4" ht="14.25" thickBot="1">
      <c r="C90" s="20" t="s">
        <v>60</v>
      </c>
      <c r="D90" s="19" t="s">
        <v>364</v>
      </c>
    </row>
    <row r="91" spans="3:4">
      <c r="C91" s="12" t="s">
        <v>365</v>
      </c>
    </row>
    <row r="92" spans="3:4">
      <c r="C92" s="22"/>
    </row>
    <row r="93" spans="3:4">
      <c r="C93" s="23" t="s">
        <v>366</v>
      </c>
    </row>
    <row r="94" spans="3:4" ht="14.25" thickBot="1">
      <c r="C94" s="22"/>
    </row>
    <row r="95" spans="3:4" ht="14.25" thickBot="1">
      <c r="C95" s="11" t="s">
        <v>357</v>
      </c>
      <c r="D95" s="11" t="s">
        <v>278</v>
      </c>
    </row>
    <row r="96" spans="3:4" ht="14.25" thickBot="1">
      <c r="C96" s="20" t="s">
        <v>304</v>
      </c>
      <c r="D96" s="19" t="s">
        <v>367</v>
      </c>
    </row>
    <row r="97" spans="3:4">
      <c r="C97" s="12" t="s">
        <v>368</v>
      </c>
    </row>
    <row r="98" spans="3:4">
      <c r="C98" s="22"/>
    </row>
    <row r="99" spans="3:4">
      <c r="C99" s="23" t="s">
        <v>369</v>
      </c>
    </row>
    <row r="100" spans="3:4" ht="14.25" thickBot="1">
      <c r="C100" s="22"/>
    </row>
    <row r="101" spans="3:4" ht="14.25" thickBot="1">
      <c r="C101" s="11" t="s">
        <v>357</v>
      </c>
      <c r="D101" s="11" t="s">
        <v>278</v>
      </c>
    </row>
    <row r="102" spans="3:4" ht="14.25" thickBot="1">
      <c r="C102" s="20" t="s">
        <v>307</v>
      </c>
      <c r="D102" s="19" t="s">
        <v>370</v>
      </c>
    </row>
    <row r="103" spans="3:4">
      <c r="C103" s="12" t="s">
        <v>371</v>
      </c>
    </row>
    <row r="104" spans="3:4">
      <c r="C104" s="22"/>
    </row>
    <row r="105" spans="3:4">
      <c r="C105" s="23" t="s">
        <v>372</v>
      </c>
    </row>
    <row r="106" spans="3:4" ht="14.25" thickBot="1">
      <c r="C106" s="22"/>
    </row>
    <row r="107" spans="3:4" ht="14.25" thickBot="1">
      <c r="C107" s="11" t="s">
        <v>357</v>
      </c>
      <c r="D107" s="11" t="s">
        <v>278</v>
      </c>
    </row>
    <row r="108" spans="3:4" ht="14.25" thickBot="1">
      <c r="C108" s="20" t="s">
        <v>304</v>
      </c>
      <c r="D108" s="19" t="s">
        <v>367</v>
      </c>
    </row>
    <row r="109" spans="3:4" ht="14.25" thickBot="1">
      <c r="C109" s="20" t="s">
        <v>57</v>
      </c>
      <c r="D109" s="19" t="s">
        <v>373</v>
      </c>
    </row>
    <row r="110" spans="3:4">
      <c r="C110" s="12" t="s">
        <v>374</v>
      </c>
    </row>
    <row r="111" spans="3:4">
      <c r="C111" s="22"/>
    </row>
    <row r="112" spans="3:4">
      <c r="C112" s="23" t="s">
        <v>375</v>
      </c>
    </row>
    <row r="113" spans="3:4" ht="14.25" thickBot="1">
      <c r="C113" s="22"/>
    </row>
    <row r="114" spans="3:4" ht="14.25" thickBot="1">
      <c r="C114" s="11" t="s">
        <v>357</v>
      </c>
      <c r="D114" s="11" t="s">
        <v>278</v>
      </c>
    </row>
    <row r="115" spans="3:4" ht="14.25" thickBot="1">
      <c r="C115" s="20" t="s">
        <v>304</v>
      </c>
      <c r="D115" s="19" t="s">
        <v>367</v>
      </c>
    </row>
    <row r="116" spans="3:4" ht="14.25" thickBot="1">
      <c r="C116" s="20" t="s">
        <v>54</v>
      </c>
      <c r="D116" s="19" t="s">
        <v>376</v>
      </c>
    </row>
    <row r="117" spans="3:4">
      <c r="C117" s="12" t="s">
        <v>377</v>
      </c>
    </row>
    <row r="118" spans="3:4">
      <c r="C118" s="22"/>
    </row>
    <row r="119" spans="3:4">
      <c r="C119" s="23" t="s">
        <v>378</v>
      </c>
    </row>
    <row r="120" spans="3:4" ht="14.25" thickBot="1">
      <c r="C120" s="22"/>
    </row>
    <row r="121" spans="3:4" ht="14.25" thickBot="1">
      <c r="C121" s="11" t="s">
        <v>357</v>
      </c>
      <c r="D121" s="11" t="s">
        <v>278</v>
      </c>
    </row>
    <row r="122" spans="3:4" ht="14.25" thickBot="1">
      <c r="C122" s="20" t="s">
        <v>304</v>
      </c>
      <c r="D122" s="19" t="s">
        <v>367</v>
      </c>
    </row>
    <row r="123" spans="3:4" ht="27.75" thickBot="1">
      <c r="C123" s="20" t="s">
        <v>48</v>
      </c>
      <c r="D123" s="19" t="s">
        <v>379</v>
      </c>
    </row>
    <row r="124" spans="3:4">
      <c r="C124" s="12" t="s">
        <v>380</v>
      </c>
    </row>
    <row r="125" spans="3:4">
      <c r="C125" s="22"/>
    </row>
    <row r="126" spans="3:4">
      <c r="C126" s="23" t="s">
        <v>381</v>
      </c>
    </row>
    <row r="127" spans="3:4" ht="14.25" thickBot="1">
      <c r="C127" s="22"/>
    </row>
    <row r="128" spans="3:4" ht="14.25" thickBot="1">
      <c r="C128" s="11" t="s">
        <v>357</v>
      </c>
      <c r="D128" s="11" t="s">
        <v>278</v>
      </c>
    </row>
    <row r="129" spans="3:4" ht="14.25" thickBot="1">
      <c r="C129" s="20" t="s">
        <v>304</v>
      </c>
      <c r="D129" s="19" t="s">
        <v>367</v>
      </c>
    </row>
    <row r="130" spans="3:4" ht="27.75" thickBot="1">
      <c r="C130" s="20" t="s">
        <v>48</v>
      </c>
      <c r="D130" s="19" t="s">
        <v>379</v>
      </c>
    </row>
    <row r="131" spans="3:4">
      <c r="C131" s="12" t="s">
        <v>382</v>
      </c>
    </row>
    <row r="132" spans="3:4">
      <c r="C132" s="22"/>
    </row>
    <row r="133" spans="3:4">
      <c r="C133" s="23" t="s">
        <v>383</v>
      </c>
    </row>
    <row r="134" spans="3:4" ht="14.25" thickBot="1">
      <c r="C134" s="22"/>
    </row>
    <row r="135" spans="3:4" ht="14.25" thickBot="1">
      <c r="C135" s="11" t="s">
        <v>357</v>
      </c>
      <c r="D135" s="11" t="s">
        <v>278</v>
      </c>
    </row>
    <row r="136" spans="3:4" ht="14.25" thickBot="1">
      <c r="C136" s="20" t="s">
        <v>304</v>
      </c>
      <c r="D136" s="19" t="s">
        <v>367</v>
      </c>
    </row>
    <row r="137" spans="3:4" ht="27.75" thickBot="1">
      <c r="C137" s="20" t="s">
        <v>48</v>
      </c>
      <c r="D137" s="19" t="s">
        <v>379</v>
      </c>
    </row>
    <row r="138" spans="3:4" ht="27.75" thickBot="1">
      <c r="C138" s="20" t="s">
        <v>248</v>
      </c>
      <c r="D138" s="19" t="s">
        <v>384</v>
      </c>
    </row>
    <row r="139" spans="3:4">
      <c r="C139" s="12" t="s">
        <v>385</v>
      </c>
    </row>
    <row r="140" spans="3:4">
      <c r="C140" s="22"/>
    </row>
    <row r="141" spans="3:4" ht="38.25">
      <c r="C141" s="23" t="s">
        <v>386</v>
      </c>
    </row>
    <row r="142" spans="3:4" ht="14.25" thickBot="1">
      <c r="C142" s="22"/>
    </row>
    <row r="143" spans="3:4" ht="14.25" thickBot="1">
      <c r="C143" s="11" t="s">
        <v>357</v>
      </c>
      <c r="D143" s="11" t="s">
        <v>278</v>
      </c>
    </row>
    <row r="144" spans="3:4" ht="14.25" thickBot="1">
      <c r="C144" s="20" t="s">
        <v>331</v>
      </c>
      <c r="D144" s="19" t="s">
        <v>387</v>
      </c>
    </row>
    <row r="145" spans="3:4" ht="14.25" thickBot="1">
      <c r="C145" s="20" t="s">
        <v>304</v>
      </c>
      <c r="D145" s="19" t="s">
        <v>367</v>
      </c>
    </row>
    <row r="146" spans="3:4" ht="27.75" thickBot="1">
      <c r="C146" s="20" t="s">
        <v>48</v>
      </c>
      <c r="D146" s="19" t="s">
        <v>379</v>
      </c>
    </row>
    <row r="147" spans="3:4" ht="14.25" thickBot="1">
      <c r="C147" s="20" t="s">
        <v>57</v>
      </c>
      <c r="D147" s="19" t="s">
        <v>373</v>
      </c>
    </row>
    <row r="148" spans="3:4" ht="14.25" thickBot="1">
      <c r="C148" s="20" t="s">
        <v>62</v>
      </c>
      <c r="D148" s="19" t="s">
        <v>361</v>
      </c>
    </row>
    <row r="149" spans="3:4">
      <c r="C149" s="12" t="s">
        <v>388</v>
      </c>
    </row>
    <row r="150" spans="3:4">
      <c r="C150" s="22"/>
    </row>
    <row r="151" spans="3:4">
      <c r="C151" s="23" t="s">
        <v>389</v>
      </c>
    </row>
    <row r="152" spans="3:4" ht="14.25" thickBot="1">
      <c r="C152" s="22"/>
    </row>
    <row r="153" spans="3:4" ht="14.25" thickBot="1">
      <c r="C153" s="11" t="s">
        <v>357</v>
      </c>
      <c r="D153" s="11" t="s">
        <v>278</v>
      </c>
    </row>
    <row r="154" spans="3:4" ht="14.25" thickBot="1">
      <c r="C154" s="20" t="s">
        <v>350</v>
      </c>
      <c r="D154" s="19" t="s">
        <v>390</v>
      </c>
    </row>
    <row r="155" spans="3:4">
      <c r="C155" s="12" t="s">
        <v>388</v>
      </c>
    </row>
    <row r="156" spans="3:4">
      <c r="C156" s="22"/>
    </row>
    <row r="157" spans="3:4">
      <c r="C157" s="23" t="s">
        <v>391</v>
      </c>
    </row>
    <row r="158" spans="3:4" ht="14.25" thickBot="1">
      <c r="C158" s="22"/>
    </row>
    <row r="159" spans="3:4" ht="14.25" thickBot="1">
      <c r="C159" s="11" t="s">
        <v>357</v>
      </c>
      <c r="D159" s="11" t="s">
        <v>278</v>
      </c>
    </row>
    <row r="160" spans="3:4" ht="14.25" thickBot="1">
      <c r="C160" s="20" t="s">
        <v>392</v>
      </c>
      <c r="D160" s="19" t="s">
        <v>393</v>
      </c>
    </row>
    <row r="161" spans="3:4">
      <c r="C161" s="12" t="s">
        <v>394</v>
      </c>
    </row>
    <row r="162" spans="3:4">
      <c r="C162" s="22"/>
    </row>
    <row r="163" spans="3:4">
      <c r="C163" s="23" t="s">
        <v>395</v>
      </c>
    </row>
    <row r="164" spans="3:4" ht="14.25" thickBot="1">
      <c r="C164" s="22"/>
    </row>
    <row r="165" spans="3:4" ht="14.25" thickBot="1">
      <c r="C165" s="11" t="s">
        <v>357</v>
      </c>
      <c r="D165" s="11" t="s">
        <v>278</v>
      </c>
    </row>
    <row r="166" spans="3:4" ht="14.25" thickBot="1">
      <c r="C166" s="20" t="s">
        <v>346</v>
      </c>
      <c r="D166" s="19" t="s">
        <v>396</v>
      </c>
    </row>
    <row r="167" spans="3:4">
      <c r="C167" s="12" t="s">
        <v>397</v>
      </c>
    </row>
    <row r="168" spans="3:4">
      <c r="C168" s="22"/>
    </row>
    <row r="169" spans="3:4">
      <c r="C169" s="23" t="s">
        <v>398</v>
      </c>
    </row>
    <row r="170" spans="3:4" ht="14.25" thickBot="1">
      <c r="C170" s="22"/>
    </row>
    <row r="171" spans="3:4" ht="14.25" thickBot="1">
      <c r="C171" s="11" t="s">
        <v>357</v>
      </c>
      <c r="D171" s="11" t="s">
        <v>278</v>
      </c>
    </row>
    <row r="172" spans="3:4" ht="14.25" thickBot="1">
      <c r="C172" s="20" t="s">
        <v>399</v>
      </c>
      <c r="D172" s="19" t="s">
        <v>400</v>
      </c>
    </row>
    <row r="173" spans="3:4">
      <c r="C173" s="12" t="s">
        <v>401</v>
      </c>
    </row>
    <row r="174" spans="3:4">
      <c r="C174" s="22"/>
    </row>
    <row r="175" spans="3:4">
      <c r="C175" s="24" t="s">
        <v>402</v>
      </c>
    </row>
    <row r="176" spans="3:4" ht="14.25" thickBot="1">
      <c r="C176" s="22"/>
    </row>
    <row r="177" spans="3:4" ht="14.25" thickBot="1">
      <c r="C177" s="11" t="s">
        <v>357</v>
      </c>
      <c r="D177" s="11" t="s">
        <v>278</v>
      </c>
    </row>
    <row r="178" spans="3:4" ht="14.25" thickBot="1">
      <c r="C178" s="20" t="s">
        <v>113</v>
      </c>
      <c r="D178" s="19" t="s">
        <v>403</v>
      </c>
    </row>
    <row r="179" spans="3:4" ht="14.25" thickBot="1">
      <c r="C179" s="20" t="s">
        <v>350</v>
      </c>
      <c r="D179" s="19" t="s">
        <v>390</v>
      </c>
    </row>
    <row r="180" spans="3:4" ht="14.25" thickBot="1">
      <c r="C180" s="20" t="s">
        <v>346</v>
      </c>
      <c r="D180" s="19" t="s">
        <v>396</v>
      </c>
    </row>
    <row r="181" spans="3:4">
      <c r="C181" s="12" t="s">
        <v>404</v>
      </c>
    </row>
    <row r="182" spans="3:4">
      <c r="C182" s="22"/>
    </row>
    <row r="183" spans="3:4">
      <c r="C183" s="24" t="s">
        <v>405</v>
      </c>
    </row>
    <row r="184" spans="3:4" ht="14.25" thickBot="1">
      <c r="C184" s="22"/>
    </row>
    <row r="185" spans="3:4" ht="14.25" thickBot="1">
      <c r="C185" s="11" t="s">
        <v>357</v>
      </c>
      <c r="D185" s="11" t="s">
        <v>278</v>
      </c>
    </row>
    <row r="186" spans="3:4" ht="14.25" thickBot="1">
      <c r="C186" s="20" t="s">
        <v>111</v>
      </c>
      <c r="D186" s="19" t="s">
        <v>406</v>
      </c>
    </row>
    <row r="187" spans="3:4" ht="14.25" thickBot="1">
      <c r="C187" s="20" t="s">
        <v>350</v>
      </c>
      <c r="D187" s="19" t="s">
        <v>390</v>
      </c>
    </row>
    <row r="188" spans="3:4" ht="14.25" thickBot="1">
      <c r="C188" s="20" t="s">
        <v>346</v>
      </c>
      <c r="D188" s="19" t="s">
        <v>396</v>
      </c>
    </row>
    <row r="189" spans="3:4">
      <c r="C189" s="12" t="s">
        <v>407</v>
      </c>
    </row>
    <row r="190" spans="3:4">
      <c r="C190" s="22"/>
    </row>
    <row r="191" spans="3:4">
      <c r="C191" s="23" t="s">
        <v>408</v>
      </c>
    </row>
    <row r="192" spans="3:4" ht="14.25" thickBot="1">
      <c r="C192" s="22"/>
    </row>
    <row r="193" spans="3:4" ht="14.25" thickBot="1">
      <c r="C193" s="11" t="s">
        <v>357</v>
      </c>
      <c r="D193" s="11" t="s">
        <v>278</v>
      </c>
    </row>
    <row r="194" spans="3:4" ht="14.25" thickBot="1">
      <c r="C194" s="20" t="s">
        <v>331</v>
      </c>
      <c r="D194" s="19" t="s">
        <v>387</v>
      </c>
    </row>
    <row r="195" spans="3:4" ht="14.25" thickBot="1">
      <c r="C195" s="20" t="s">
        <v>113</v>
      </c>
      <c r="D195" s="19" t="s">
        <v>403</v>
      </c>
    </row>
    <row r="196" spans="3:4" ht="14.25" thickBot="1">
      <c r="C196" s="20" t="s">
        <v>350</v>
      </c>
      <c r="D196" s="19" t="s">
        <v>390</v>
      </c>
    </row>
    <row r="197" spans="3:4" ht="14.25" thickBot="1">
      <c r="C197" s="20" t="s">
        <v>346</v>
      </c>
      <c r="D197" s="19" t="s">
        <v>396</v>
      </c>
    </row>
    <row r="198" spans="3:4" ht="14.25" thickBot="1">
      <c r="C198" s="20" t="s">
        <v>60</v>
      </c>
      <c r="D198" s="19" t="s">
        <v>364</v>
      </c>
    </row>
    <row r="199" spans="3:4">
      <c r="C199" s="12" t="s">
        <v>409</v>
      </c>
    </row>
    <row r="200" spans="3:4">
      <c r="C200" s="22"/>
    </row>
    <row r="201" spans="3:4">
      <c r="C201" s="24" t="s">
        <v>410</v>
      </c>
    </row>
    <row r="202" spans="3:4" ht="14.25" thickBot="1">
      <c r="C202" s="22"/>
    </row>
    <row r="203" spans="3:4" ht="14.25" thickBot="1">
      <c r="C203" s="11" t="s">
        <v>357</v>
      </c>
      <c r="D203" s="11" t="s">
        <v>278</v>
      </c>
    </row>
    <row r="204" spans="3:4" ht="14.25" thickBot="1">
      <c r="C204" s="20" t="s">
        <v>113</v>
      </c>
      <c r="D204" s="19" t="s">
        <v>403</v>
      </c>
    </row>
    <row r="205" spans="3:4">
      <c r="C205" s="12" t="s">
        <v>411</v>
      </c>
    </row>
    <row r="206" spans="3:4">
      <c r="C206" s="22"/>
    </row>
    <row r="207" spans="3:4">
      <c r="C207" s="23" t="s">
        <v>412</v>
      </c>
    </row>
    <row r="208" spans="3:4" ht="14.25" thickBot="1">
      <c r="C208" s="22"/>
    </row>
    <row r="209" spans="3:4" ht="14.25" thickBot="1">
      <c r="C209" s="11" t="s">
        <v>357</v>
      </c>
      <c r="D209" s="11" t="s">
        <v>278</v>
      </c>
    </row>
    <row r="210" spans="3:4" ht="14.25" thickBot="1">
      <c r="C210" s="20" t="s">
        <v>304</v>
      </c>
      <c r="D210" s="19" t="s">
        <v>367</v>
      </c>
    </row>
    <row r="211" spans="3:4" ht="14.25" thickBot="1">
      <c r="C211" s="20" t="s">
        <v>62</v>
      </c>
      <c r="D211" s="19" t="s">
        <v>361</v>
      </c>
    </row>
    <row r="212" spans="3:4" ht="14.25" thickBot="1">
      <c r="C212" s="20" t="s">
        <v>113</v>
      </c>
      <c r="D212" s="19" t="s">
        <v>403</v>
      </c>
    </row>
    <row r="213" spans="3:4" ht="14.25" thickBot="1">
      <c r="C213" s="20" t="s">
        <v>331</v>
      </c>
      <c r="D213" s="19" t="s">
        <v>387</v>
      </c>
    </row>
    <row r="214" spans="3:4">
      <c r="C214" s="12" t="s">
        <v>413</v>
      </c>
    </row>
    <row r="215" spans="3:4">
      <c r="C215" s="22"/>
    </row>
    <row r="216" spans="3:4">
      <c r="C216" s="24" t="s">
        <v>414</v>
      </c>
    </row>
    <row r="217" spans="3:4" ht="14.25" thickBot="1">
      <c r="C217" s="22"/>
    </row>
    <row r="218" spans="3:4" ht="14.25" thickBot="1">
      <c r="C218" s="11" t="s">
        <v>357</v>
      </c>
      <c r="D218" s="11" t="s">
        <v>278</v>
      </c>
    </row>
    <row r="219" spans="3:4" ht="14.25" thickBot="1">
      <c r="C219" s="20" t="s">
        <v>113</v>
      </c>
      <c r="D219" s="19" t="s">
        <v>403</v>
      </c>
    </row>
    <row r="220" spans="3:4">
      <c r="C220" s="12" t="s">
        <v>415</v>
      </c>
    </row>
    <row r="221" spans="3:4">
      <c r="C221" s="22"/>
    </row>
    <row r="222" spans="3:4">
      <c r="C222" s="23" t="s">
        <v>416</v>
      </c>
    </row>
    <row r="223" spans="3:4" ht="14.25" thickBot="1">
      <c r="C223" s="22"/>
    </row>
    <row r="224" spans="3:4" ht="14.25" thickBot="1">
      <c r="C224" s="11" t="s">
        <v>357</v>
      </c>
      <c r="D224" s="11" t="s">
        <v>278</v>
      </c>
    </row>
    <row r="225" spans="3:4" ht="14.25" thickBot="1">
      <c r="C225" s="20" t="s">
        <v>304</v>
      </c>
      <c r="D225" s="19" t="s">
        <v>367</v>
      </c>
    </row>
    <row r="226" spans="3:4" ht="14.25" thickBot="1">
      <c r="C226" s="20" t="s">
        <v>62</v>
      </c>
      <c r="D226" s="19" t="s">
        <v>361</v>
      </c>
    </row>
    <row r="227" spans="3:4" ht="14.25" thickBot="1">
      <c r="C227" s="20" t="s">
        <v>113</v>
      </c>
      <c r="D227" s="19" t="s">
        <v>403</v>
      </c>
    </row>
    <row r="228" spans="3:4" ht="14.25" thickBot="1">
      <c r="C228" s="20" t="s">
        <v>331</v>
      </c>
      <c r="D228" s="19" t="s">
        <v>387</v>
      </c>
    </row>
    <row r="229" spans="3:4">
      <c r="C229" s="12" t="s">
        <v>417</v>
      </c>
    </row>
    <row r="230" spans="3:4">
      <c r="C230" s="22"/>
    </row>
    <row r="231" spans="3:4">
      <c r="C231" s="24" t="s">
        <v>418</v>
      </c>
    </row>
    <row r="232" spans="3:4" ht="14.25" thickBot="1">
      <c r="C232" s="22"/>
    </row>
    <row r="233" spans="3:4" ht="14.25" thickBot="1">
      <c r="C233" s="11" t="s">
        <v>357</v>
      </c>
      <c r="D233" s="11" t="s">
        <v>278</v>
      </c>
    </row>
    <row r="234" spans="3:4" ht="14.25" thickBot="1">
      <c r="C234" s="20" t="s">
        <v>113</v>
      </c>
      <c r="D234" s="19" t="s">
        <v>403</v>
      </c>
    </row>
    <row r="235" spans="3:4" ht="15" thickBot="1">
      <c r="C235" s="20" t="s">
        <v>419</v>
      </c>
      <c r="D235" s="20" t="s">
        <v>420</v>
      </c>
    </row>
    <row r="236" spans="3:4">
      <c r="C236" s="12" t="s">
        <v>421</v>
      </c>
    </row>
    <row r="237" spans="3:4">
      <c r="C237" s="22"/>
    </row>
    <row r="238" spans="3:4">
      <c r="C238" s="24" t="s">
        <v>422</v>
      </c>
    </row>
    <row r="239" spans="3:4" ht="14.25" thickBot="1">
      <c r="C239" s="22"/>
    </row>
    <row r="240" spans="3:4" ht="14.25" thickBot="1">
      <c r="C240" s="11" t="s">
        <v>357</v>
      </c>
      <c r="D240" s="11" t="s">
        <v>278</v>
      </c>
    </row>
    <row r="241" spans="3:4" ht="14.25" thickBot="1">
      <c r="C241" s="20" t="s">
        <v>113</v>
      </c>
      <c r="D241" s="19" t="s">
        <v>403</v>
      </c>
    </row>
    <row r="242" spans="3:4" ht="15" thickBot="1">
      <c r="C242" s="20" t="s">
        <v>419</v>
      </c>
      <c r="D242" s="20" t="s">
        <v>420</v>
      </c>
    </row>
    <row r="243" spans="3:4">
      <c r="C243" s="12" t="s">
        <v>423</v>
      </c>
    </row>
    <row r="244" spans="3:4">
      <c r="C244" s="22"/>
    </row>
    <row r="245" spans="3:4">
      <c r="C245" s="24" t="s">
        <v>424</v>
      </c>
    </row>
    <row r="246" spans="3:4" ht="14.25" thickBot="1">
      <c r="C246" s="22"/>
    </row>
    <row r="247" spans="3:4" ht="14.25" thickBot="1">
      <c r="C247" s="11" t="s">
        <v>357</v>
      </c>
      <c r="D247" s="11" t="s">
        <v>278</v>
      </c>
    </row>
    <row r="248" spans="3:4" ht="14.25" thickBot="1">
      <c r="C248" s="20" t="s">
        <v>113</v>
      </c>
      <c r="D248" s="19" t="s">
        <v>403</v>
      </c>
    </row>
    <row r="249" spans="3:4" ht="15" thickBot="1">
      <c r="C249" s="20" t="s">
        <v>419</v>
      </c>
      <c r="D249" s="20" t="s">
        <v>420</v>
      </c>
    </row>
    <row r="250" spans="3:4">
      <c r="C250" s="12" t="s">
        <v>425</v>
      </c>
    </row>
    <row r="251" spans="3:4">
      <c r="C251" s="22"/>
    </row>
    <row r="252" spans="3:4">
      <c r="C252" s="24" t="s">
        <v>426</v>
      </c>
    </row>
    <row r="253" spans="3:4" ht="14.25" thickBot="1">
      <c r="C253" s="22"/>
    </row>
    <row r="254" spans="3:4" ht="14.25" thickBot="1">
      <c r="C254" s="11" t="s">
        <v>357</v>
      </c>
      <c r="D254" s="11" t="s">
        <v>278</v>
      </c>
    </row>
    <row r="255" spans="3:4" ht="14.25" thickBot="1">
      <c r="C255" s="20" t="s">
        <v>113</v>
      </c>
      <c r="D255" s="19" t="s">
        <v>403</v>
      </c>
    </row>
    <row r="256" spans="3:4" ht="15" thickBot="1">
      <c r="C256" s="20" t="s">
        <v>419</v>
      </c>
      <c r="D256" s="20" t="s">
        <v>420</v>
      </c>
    </row>
    <row r="257" spans="3:4">
      <c r="C257" s="12" t="s">
        <v>427</v>
      </c>
    </row>
    <row r="258" spans="3:4">
      <c r="C258" s="22"/>
    </row>
    <row r="259" spans="3:4">
      <c r="C259" s="24" t="s">
        <v>428</v>
      </c>
    </row>
    <row r="260" spans="3:4" ht="14.25" thickBot="1">
      <c r="C260" s="22"/>
    </row>
    <row r="261" spans="3:4" ht="14.25" thickBot="1">
      <c r="C261" s="11" t="s">
        <v>357</v>
      </c>
      <c r="D261" s="11" t="s">
        <v>278</v>
      </c>
    </row>
    <row r="262" spans="3:4" ht="14.25" thickBot="1">
      <c r="C262" s="20" t="s">
        <v>113</v>
      </c>
      <c r="D262" s="19" t="s">
        <v>403</v>
      </c>
    </row>
    <row r="263" spans="3:4" ht="15" thickBot="1">
      <c r="C263" s="20" t="s">
        <v>419</v>
      </c>
      <c r="D263" s="20" t="s">
        <v>420</v>
      </c>
    </row>
    <row r="264" spans="3:4">
      <c r="C264" s="12" t="s">
        <v>429</v>
      </c>
    </row>
    <row r="265" spans="3:4">
      <c r="C265" s="22"/>
    </row>
    <row r="266" spans="3:4">
      <c r="C266" s="24" t="s">
        <v>430</v>
      </c>
    </row>
    <row r="267" spans="3:4" ht="14.25" thickBot="1">
      <c r="C267" s="22"/>
    </row>
    <row r="268" spans="3:4" ht="14.25" thickBot="1">
      <c r="C268" s="11" t="s">
        <v>357</v>
      </c>
      <c r="D268" s="11" t="s">
        <v>278</v>
      </c>
    </row>
    <row r="269" spans="3:4" ht="14.25" thickBot="1">
      <c r="C269" s="20" t="s">
        <v>113</v>
      </c>
      <c r="D269" s="19" t="s">
        <v>403</v>
      </c>
    </row>
    <row r="270" spans="3:4" ht="15" thickBot="1">
      <c r="C270" s="20" t="s">
        <v>419</v>
      </c>
      <c r="D270" s="20" t="s">
        <v>420</v>
      </c>
    </row>
    <row r="271" spans="3:4">
      <c r="C271" s="12" t="s">
        <v>431</v>
      </c>
    </row>
    <row r="272" spans="3:4">
      <c r="C272" s="22"/>
    </row>
    <row r="273" spans="3:4">
      <c r="C273" s="24" t="s">
        <v>432</v>
      </c>
    </row>
    <row r="274" spans="3:4" ht="14.25" thickBot="1">
      <c r="C274" s="22"/>
    </row>
    <row r="275" spans="3:4" ht="14.25" thickBot="1">
      <c r="C275" s="11" t="s">
        <v>357</v>
      </c>
      <c r="D275" s="11" t="s">
        <v>278</v>
      </c>
    </row>
    <row r="276" spans="3:4" ht="14.25" thickBot="1">
      <c r="C276" s="20" t="s">
        <v>113</v>
      </c>
      <c r="D276" s="19" t="s">
        <v>403</v>
      </c>
    </row>
    <row r="277" spans="3:4" ht="15" thickBot="1">
      <c r="C277" s="20" t="s">
        <v>419</v>
      </c>
      <c r="D277" s="20" t="s">
        <v>420</v>
      </c>
    </row>
    <row r="278" spans="3:4">
      <c r="C278" s="12" t="s">
        <v>433</v>
      </c>
    </row>
    <row r="279" spans="3:4">
      <c r="C279" s="22"/>
    </row>
    <row r="280" spans="3:4">
      <c r="C280" s="23" t="s">
        <v>434</v>
      </c>
    </row>
    <row r="281" spans="3:4" ht="14.25" thickBot="1">
      <c r="C281" s="22"/>
    </row>
    <row r="282" spans="3:4" ht="14.25" thickBot="1">
      <c r="C282" s="11" t="s">
        <v>357</v>
      </c>
      <c r="D282" s="11" t="s">
        <v>278</v>
      </c>
    </row>
    <row r="283" spans="3:4" ht="14.25" thickBot="1">
      <c r="C283" s="20" t="s">
        <v>302</v>
      </c>
      <c r="D283" s="19" t="s">
        <v>435</v>
      </c>
    </row>
    <row r="284" spans="3:4">
      <c r="C284" s="12" t="s">
        <v>436</v>
      </c>
    </row>
    <row r="285" spans="3:4">
      <c r="C285" s="22"/>
    </row>
    <row r="286" spans="3:4">
      <c r="C286" s="23" t="s">
        <v>437</v>
      </c>
    </row>
    <row r="287" spans="3:4" ht="14.25" thickBot="1">
      <c r="C287" s="22"/>
    </row>
    <row r="288" spans="3:4" ht="14.25" thickBot="1">
      <c r="C288" s="11" t="s">
        <v>357</v>
      </c>
      <c r="D288" s="11" t="s">
        <v>278</v>
      </c>
    </row>
    <row r="289" spans="3:4" ht="27.75" thickBot="1">
      <c r="C289" s="20" t="s">
        <v>310</v>
      </c>
      <c r="D289" s="19" t="s">
        <v>438</v>
      </c>
    </row>
    <row r="290" spans="3:4">
      <c r="C290" s="12" t="s">
        <v>439</v>
      </c>
    </row>
    <row r="291" spans="3:4">
      <c r="C291" s="22"/>
    </row>
    <row r="292" spans="3:4">
      <c r="C292" s="24" t="s">
        <v>440</v>
      </c>
    </row>
    <row r="293" spans="3:4" ht="14.25" thickBot="1">
      <c r="C293" s="22"/>
    </row>
    <row r="294" spans="3:4" ht="14.25" thickBot="1">
      <c r="C294" s="11" t="s">
        <v>357</v>
      </c>
      <c r="D294" s="11" t="s">
        <v>278</v>
      </c>
    </row>
    <row r="295" spans="3:4" ht="14.25" thickBot="1">
      <c r="C295" s="20" t="s">
        <v>45</v>
      </c>
      <c r="D295" s="19" t="s">
        <v>441</v>
      </c>
    </row>
    <row r="296" spans="3:4">
      <c r="C296" s="12" t="s">
        <v>91</v>
      </c>
    </row>
    <row r="297" spans="3:4">
      <c r="C297" s="22"/>
    </row>
    <row r="298" spans="3:4">
      <c r="C298" s="24" t="s">
        <v>442</v>
      </c>
    </row>
    <row r="299" spans="3:4" ht="14.25" thickBot="1">
      <c r="C299" s="22"/>
    </row>
    <row r="300" spans="3:4" ht="14.25" thickBot="1">
      <c r="C300" s="11" t="s">
        <v>357</v>
      </c>
      <c r="D300" s="11" t="s">
        <v>278</v>
      </c>
    </row>
    <row r="301" spans="3:4" ht="14.25" thickBot="1">
      <c r="C301" s="20" t="s">
        <v>92</v>
      </c>
      <c r="D301" s="19" t="s">
        <v>443</v>
      </c>
    </row>
    <row r="302" spans="3:4">
      <c r="C302" s="12" t="s">
        <v>88</v>
      </c>
    </row>
    <row r="303" spans="3:4">
      <c r="C303" s="22"/>
    </row>
    <row r="304" spans="3:4">
      <c r="C304" s="23" t="s">
        <v>444</v>
      </c>
    </row>
    <row r="305" spans="3:4" ht="14.25" thickBot="1">
      <c r="C305" s="22"/>
    </row>
    <row r="306" spans="3:4" ht="14.25" thickBot="1">
      <c r="C306" s="11" t="s">
        <v>357</v>
      </c>
      <c r="D306" s="11" t="s">
        <v>278</v>
      </c>
    </row>
    <row r="307" spans="3:4" ht="14.25" thickBot="1">
      <c r="C307" s="20" t="s">
        <v>89</v>
      </c>
      <c r="D307" s="19" t="s">
        <v>445</v>
      </c>
    </row>
    <row r="308" spans="3:4">
      <c r="C308" s="12" t="s">
        <v>446</v>
      </c>
    </row>
    <row r="309" spans="3:4">
      <c r="C309" s="22"/>
    </row>
    <row r="310" spans="3:4">
      <c r="C310" s="24" t="s">
        <v>447</v>
      </c>
    </row>
    <row r="311" spans="3:4" ht="14.25" thickBot="1">
      <c r="C311" s="22"/>
    </row>
    <row r="312" spans="3:4" ht="14.25" thickBot="1">
      <c r="C312" s="11" t="s">
        <v>357</v>
      </c>
      <c r="D312" s="11" t="s">
        <v>278</v>
      </c>
    </row>
    <row r="313" spans="3:4" ht="14.25" thickBot="1">
      <c r="C313" s="20" t="s">
        <v>92</v>
      </c>
      <c r="D313" s="19" t="s">
        <v>443</v>
      </c>
    </row>
    <row r="314" spans="3:4" ht="14.25" thickBot="1">
      <c r="C314" s="20" t="s">
        <v>302</v>
      </c>
      <c r="D314" s="19" t="s">
        <v>435</v>
      </c>
    </row>
    <row r="315" spans="3:4">
      <c r="C315" s="12" t="s">
        <v>448</v>
      </c>
    </row>
    <row r="316" spans="3:4">
      <c r="C316" s="22"/>
    </row>
    <row r="317" spans="3:4">
      <c r="C317" s="24" t="s">
        <v>449</v>
      </c>
    </row>
    <row r="318" spans="3:4" ht="14.25" thickBot="1">
      <c r="C318" s="22"/>
    </row>
    <row r="319" spans="3:4" ht="14.25" thickBot="1">
      <c r="C319" s="11" t="s">
        <v>357</v>
      </c>
      <c r="D319" s="11" t="s">
        <v>278</v>
      </c>
    </row>
    <row r="320" spans="3:4" ht="14.25" thickBot="1">
      <c r="C320" s="20" t="s">
        <v>92</v>
      </c>
      <c r="D320" s="19" t="s">
        <v>443</v>
      </c>
    </row>
    <row r="321" spans="3:4" ht="14.25" thickBot="1">
      <c r="C321" s="20" t="s">
        <v>1</v>
      </c>
      <c r="D321" s="19" t="s">
        <v>358</v>
      </c>
    </row>
    <row r="322" spans="3:4" ht="14.25" thickBot="1">
      <c r="C322" s="20" t="s">
        <v>62</v>
      </c>
      <c r="D322" s="19" t="s">
        <v>361</v>
      </c>
    </row>
    <row r="323" spans="3:4" ht="14.25" thickBot="1">
      <c r="C323" s="20" t="s">
        <v>89</v>
      </c>
      <c r="D323" s="19" t="s">
        <v>445</v>
      </c>
    </row>
    <row r="325" spans="3:4" ht="32.25">
      <c r="C325" s="10" t="s">
        <v>450</v>
      </c>
    </row>
    <row r="327" spans="3:4">
      <c r="C327" s="12" t="s">
        <v>451</v>
      </c>
    </row>
    <row r="328" spans="3:4" ht="51">
      <c r="C328" s="25" t="s">
        <v>452</v>
      </c>
    </row>
    <row r="329" spans="3:4">
      <c r="C329" s="12" t="s">
        <v>453</v>
      </c>
    </row>
    <row r="330" spans="3:4" ht="51">
      <c r="C330" s="25" t="s">
        <v>454</v>
      </c>
    </row>
    <row r="331" spans="3:4">
      <c r="C331" s="12" t="s">
        <v>455</v>
      </c>
    </row>
    <row r="332" spans="3:4" ht="63.75">
      <c r="C332" s="25" t="s">
        <v>456</v>
      </c>
    </row>
    <row r="333" spans="3:4">
      <c r="C333" s="12" t="s">
        <v>457</v>
      </c>
    </row>
    <row r="334" spans="3:4" ht="51">
      <c r="C334" s="25" t="s">
        <v>458</v>
      </c>
    </row>
    <row r="335" spans="3:4">
      <c r="C335" s="12" t="s">
        <v>459</v>
      </c>
    </row>
    <row r="336" spans="3:4" ht="25.5">
      <c r="C336" s="25" t="s">
        <v>460</v>
      </c>
    </row>
    <row r="337" spans="3:3">
      <c r="C337" s="12" t="s">
        <v>461</v>
      </c>
    </row>
    <row r="338" spans="3:3">
      <c r="C338" s="25" t="s">
        <v>462</v>
      </c>
    </row>
    <row r="339" spans="3:3">
      <c r="C339" s="12" t="s">
        <v>463</v>
      </c>
    </row>
    <row r="340" spans="3:3" ht="25.5">
      <c r="C340" s="25" t="s">
        <v>464</v>
      </c>
    </row>
    <row r="341" spans="3:3">
      <c r="C341" s="12" t="s">
        <v>465</v>
      </c>
    </row>
    <row r="342" spans="3:3">
      <c r="C342" s="25" t="s">
        <v>466</v>
      </c>
    </row>
    <row r="343" spans="3:3">
      <c r="C343" s="12" t="s">
        <v>9</v>
      </c>
    </row>
    <row r="344" spans="3:3">
      <c r="C344" s="25" t="s">
        <v>467</v>
      </c>
    </row>
    <row r="346" spans="3:3" ht="32.25">
      <c r="C346" s="10" t="s">
        <v>468</v>
      </c>
    </row>
    <row r="348" spans="3:3">
      <c r="C348" s="26" t="s">
        <v>469</v>
      </c>
    </row>
    <row r="349" spans="3:3">
      <c r="C349" s="27"/>
    </row>
    <row r="350" spans="3:3">
      <c r="C350" s="28" t="s">
        <v>470</v>
      </c>
    </row>
    <row r="351" spans="3:3">
      <c r="C351" s="29" t="s">
        <v>471</v>
      </c>
    </row>
    <row r="353" spans="3:3">
      <c r="C353" s="30" t="s">
        <v>472</v>
      </c>
    </row>
    <row r="355" spans="3:3">
      <c r="C355" s="26" t="s">
        <v>473</v>
      </c>
    </row>
    <row r="356" spans="3:3">
      <c r="C356" s="27"/>
    </row>
    <row r="357" spans="3:3">
      <c r="C357" s="31" t="s">
        <v>474</v>
      </c>
    </row>
    <row r="358" spans="3:3">
      <c r="C358" s="28" t="s">
        <v>475</v>
      </c>
    </row>
    <row r="359" spans="3:3">
      <c r="C359" s="29" t="s">
        <v>476</v>
      </c>
    </row>
    <row r="360" spans="3:3">
      <c r="C360" s="29" t="s">
        <v>477</v>
      </c>
    </row>
    <row r="361" spans="3:3">
      <c r="C361" s="29" t="s">
        <v>478</v>
      </c>
    </row>
    <row r="362" spans="3:3">
      <c r="C362" s="28" t="s">
        <v>479</v>
      </c>
    </row>
    <row r="364" spans="3:3">
      <c r="C364" s="30" t="s">
        <v>480</v>
      </c>
    </row>
    <row r="366" spans="3:3">
      <c r="C366" s="26" t="s">
        <v>481</v>
      </c>
    </row>
    <row r="367" spans="3:3">
      <c r="C367" s="27"/>
    </row>
    <row r="368" spans="3:3">
      <c r="C368" s="28" t="s">
        <v>482</v>
      </c>
    </row>
    <row r="369" spans="3:3">
      <c r="C369" s="28" t="s">
        <v>483</v>
      </c>
    </row>
    <row r="370" spans="3:3">
      <c r="C370" s="28" t="s">
        <v>484</v>
      </c>
    </row>
    <row r="371" spans="3:3">
      <c r="C371" s="29" t="s">
        <v>485</v>
      </c>
    </row>
    <row r="372" spans="3:3">
      <c r="C372" s="29" t="s">
        <v>486</v>
      </c>
    </row>
    <row r="373" spans="3:3">
      <c r="C373" s="29" t="s">
        <v>487</v>
      </c>
    </row>
    <row r="374" spans="3:3">
      <c r="C374" s="29" t="s">
        <v>488</v>
      </c>
    </row>
    <row r="375" spans="3:3">
      <c r="C375" s="29" t="s">
        <v>489</v>
      </c>
    </row>
    <row r="376" spans="3:3">
      <c r="C376" s="29" t="s">
        <v>490</v>
      </c>
    </row>
    <row r="377" spans="3:3">
      <c r="C377" s="29" t="s">
        <v>491</v>
      </c>
    </row>
    <row r="378" spans="3:3">
      <c r="C378" s="29" t="s">
        <v>492</v>
      </c>
    </row>
    <row r="379" spans="3:3">
      <c r="C379" s="32" t="s">
        <v>493</v>
      </c>
    </row>
    <row r="381" spans="3:3">
      <c r="C381" s="30" t="s">
        <v>494</v>
      </c>
    </row>
    <row r="383" spans="3:3">
      <c r="C383" s="22" t="s">
        <v>495</v>
      </c>
    </row>
    <row r="384" spans="3:3">
      <c r="C384" s="27"/>
    </row>
    <row r="385" spans="3:3">
      <c r="C385" s="31" t="s">
        <v>496</v>
      </c>
    </row>
    <row r="386" spans="3:3">
      <c r="C386" s="29" t="s">
        <v>497</v>
      </c>
    </row>
    <row r="387" spans="3:3">
      <c r="C387" s="29" t="s">
        <v>498</v>
      </c>
    </row>
    <row r="388" spans="3:3">
      <c r="C388" s="29" t="s">
        <v>499</v>
      </c>
    </row>
    <row r="390" spans="3:3">
      <c r="C390" s="30" t="s">
        <v>500</v>
      </c>
    </row>
    <row r="392" spans="3:3">
      <c r="C392" s="22" t="s">
        <v>501</v>
      </c>
    </row>
    <row r="393" spans="3:3">
      <c r="C393" s="27"/>
    </row>
    <row r="394" spans="3:3">
      <c r="C394" s="31" t="s">
        <v>502</v>
      </c>
    </row>
    <row r="395" spans="3:3">
      <c r="C395" s="29" t="s">
        <v>503</v>
      </c>
    </row>
    <row r="396" spans="3:3">
      <c r="C396" s="29" t="s">
        <v>504</v>
      </c>
    </row>
    <row r="397" spans="3:3">
      <c r="C397" s="28" t="s">
        <v>505</v>
      </c>
    </row>
    <row r="398" spans="3:3">
      <c r="C398" s="29" t="s">
        <v>506</v>
      </c>
    </row>
    <row r="399" spans="3:3">
      <c r="C399" s="32" t="s">
        <v>507</v>
      </c>
    </row>
    <row r="400" spans="3:3">
      <c r="C400" s="29" t="s">
        <v>508</v>
      </c>
    </row>
    <row r="401" spans="3:3">
      <c r="C401" s="32" t="s">
        <v>509</v>
      </c>
    </row>
    <row r="403" spans="3:3">
      <c r="C403" s="30" t="s">
        <v>510</v>
      </c>
    </row>
    <row r="405" spans="3:3" ht="32.25">
      <c r="C405" s="10" t="s">
        <v>511</v>
      </c>
    </row>
    <row r="407" spans="3:3">
      <c r="C407" s="33" t="s">
        <v>512</v>
      </c>
    </row>
    <row r="408" spans="3:3" ht="27">
      <c r="C408" s="22" t="s">
        <v>513</v>
      </c>
    </row>
    <row r="409" spans="3:3">
      <c r="C409" s="33" t="s">
        <v>514</v>
      </c>
    </row>
    <row r="410" spans="3:3" ht="54">
      <c r="C410" s="22" t="s">
        <v>515</v>
      </c>
    </row>
    <row r="411" spans="3:3">
      <c r="C411" s="33" t="s">
        <v>516</v>
      </c>
    </row>
    <row r="412" spans="3:3" ht="40.5">
      <c r="C412" s="22" t="s">
        <v>517</v>
      </c>
    </row>
    <row r="413" spans="3:3">
      <c r="C413" s="33" t="s">
        <v>518</v>
      </c>
    </row>
    <row r="414" spans="3:3" ht="54.75">
      <c r="C414" s="22" t="s">
        <v>519</v>
      </c>
    </row>
    <row r="415" spans="3:3">
      <c r="C415" s="33" t="s">
        <v>520</v>
      </c>
    </row>
    <row r="416" spans="3:3" ht="27">
      <c r="C416" s="22" t="s">
        <v>521</v>
      </c>
    </row>
    <row r="417" spans="3:3">
      <c r="C417" s="33" t="s">
        <v>522</v>
      </c>
    </row>
    <row r="418" spans="3:3" ht="40.5">
      <c r="C418" s="22" t="s">
        <v>523</v>
      </c>
    </row>
    <row r="420" spans="3:3" ht="32.25">
      <c r="C420" s="10" t="s">
        <v>524</v>
      </c>
    </row>
    <row r="422" spans="3:3" ht="67.5">
      <c r="C422" s="22" t="s">
        <v>525</v>
      </c>
    </row>
    <row r="424" spans="3:3" ht="32.25">
      <c r="C424" s="10" t="s">
        <v>526</v>
      </c>
    </row>
    <row r="425" spans="3:3">
      <c r="C425" s="8"/>
    </row>
    <row r="426" spans="3:3">
      <c r="C426" s="9" t="s">
        <v>527</v>
      </c>
    </row>
    <row r="427" spans="3:3">
      <c r="C427" s="9" t="s">
        <v>528</v>
      </c>
    </row>
    <row r="428" spans="3:3">
      <c r="C428" s="9" t="s">
        <v>529</v>
      </c>
    </row>
    <row r="429" spans="3:3">
      <c r="C429" s="9" t="s">
        <v>530</v>
      </c>
    </row>
    <row r="430" spans="3:3">
      <c r="C430" s="9" t="s">
        <v>531</v>
      </c>
    </row>
    <row r="433" spans="3:3" ht="17.25">
      <c r="C433" s="34" t="s">
        <v>532</v>
      </c>
    </row>
    <row r="434" spans="3:3">
      <c r="C434" s="35" t="s">
        <v>533</v>
      </c>
    </row>
    <row r="435" spans="3:3">
      <c r="C435" s="37" t="s">
        <v>534</v>
      </c>
    </row>
    <row r="436" spans="3:3">
      <c r="C436" s="36" t="s">
        <v>535</v>
      </c>
    </row>
    <row r="437" spans="3:3">
      <c r="C437" s="37" t="s">
        <v>536</v>
      </c>
    </row>
    <row r="438" spans="3:3">
      <c r="C438" s="37" t="s">
        <v>537</v>
      </c>
    </row>
    <row r="439" spans="3:3">
      <c r="C439" s="37" t="s">
        <v>538</v>
      </c>
    </row>
  </sheetData>
  <mergeCells count="45">
    <mergeCell ref="C36:C37"/>
    <mergeCell ref="E36:E37"/>
    <mergeCell ref="C38:E38"/>
    <mergeCell ref="C49:F49"/>
    <mergeCell ref="C60:D60"/>
    <mergeCell ref="F30:F31"/>
    <mergeCell ref="C32:C33"/>
    <mergeCell ref="D32:D33"/>
    <mergeCell ref="E32:E33"/>
    <mergeCell ref="C34:C35"/>
    <mergeCell ref="E34:E35"/>
    <mergeCell ref="C30:C31"/>
    <mergeCell ref="D30:D31"/>
    <mergeCell ref="E30:E31"/>
    <mergeCell ref="C26:C27"/>
    <mergeCell ref="D26:D27"/>
    <mergeCell ref="C28:C29"/>
    <mergeCell ref="D28:D29"/>
    <mergeCell ref="E28:E29"/>
    <mergeCell ref="C22:C23"/>
    <mergeCell ref="D22:D23"/>
    <mergeCell ref="E22:E23"/>
    <mergeCell ref="F22:F23"/>
    <mergeCell ref="C24:C25"/>
    <mergeCell ref="D24:D25"/>
    <mergeCell ref="F24:F25"/>
    <mergeCell ref="C16:C17"/>
    <mergeCell ref="E16:E17"/>
    <mergeCell ref="C18:C19"/>
    <mergeCell ref="E18:E19"/>
    <mergeCell ref="C20:C21"/>
    <mergeCell ref="D20:D21"/>
    <mergeCell ref="E20:E21"/>
    <mergeCell ref="C10:C11"/>
    <mergeCell ref="E10:E11"/>
    <mergeCell ref="C12:C13"/>
    <mergeCell ref="E12:E13"/>
    <mergeCell ref="C14:C15"/>
    <mergeCell ref="E14:E15"/>
    <mergeCell ref="C4:F4"/>
    <mergeCell ref="C6:C7"/>
    <mergeCell ref="D6:D7"/>
    <mergeCell ref="E6:E7"/>
    <mergeCell ref="C8:C9"/>
    <mergeCell ref="E8:E9"/>
  </mergeCells>
  <phoneticPr fontId="1"/>
  <hyperlinks>
    <hyperlink ref="C348" r:id="rId1" display="https://murashun.jp/blog/20191110-01.html" xr:uid="{B78F14F0-3031-43F3-9A24-090FE57C4FA6}"/>
    <hyperlink ref="C355" r:id="rId2" display="https://murashun.jp/blog/20200113-01.html" xr:uid="{5DFE86D5-73AE-40EB-AC4A-72DF9870912D}"/>
    <hyperlink ref="C366" r:id="rId3" display="https://murashun.jp/blog/20200410-01.html" xr:uid="{B5401799-09D7-421E-9E45-69B67C99A49A}"/>
    <hyperlink ref="C426" r:id="rId4" display="https://murashun.jp/blog/20200410-01.html" xr:uid="{A797D715-06F2-4163-B76C-933FA97CB5B2}"/>
    <hyperlink ref="C427" r:id="rId5" display="https://murashun.jp/blog/20200408-01.html" xr:uid="{8917B3A0-AC10-48A0-8C87-32FC6A7FF6D4}"/>
    <hyperlink ref="C428" r:id="rId6" display="https://murashun.jp/blog/20200128-01.html" xr:uid="{2D6AFCFD-E0D1-4D20-93D1-2BD25196B073}"/>
    <hyperlink ref="C429" r:id="rId7" display="https://murashun.jp/blog/20200113-01.html" xr:uid="{4AA6944B-7A1B-4792-9259-08C37A327A52}"/>
    <hyperlink ref="C430" r:id="rId8" display="https://murashun.jp/blog/20191110-01.html" xr:uid="{A2B4B9C4-627F-48F7-B346-487C8AB9FE79}"/>
    <hyperlink ref="C435" r:id="rId9" display="https://murashun.jp/about.html" xr:uid="{C66EF957-7F49-446C-A3D3-4DF7134B6635}"/>
    <hyperlink ref="C437" r:id="rId10" display="https://twitter.com/murashun" xr:uid="{3A280360-7569-47BC-B76E-FBD5513A2181}"/>
    <hyperlink ref="C438" r:id="rId11" display="https://marshmallow-qa.com/murashun" xr:uid="{210D1CB7-6997-46DB-B09E-C18E6258321A}"/>
    <hyperlink ref="C439" r:id="rId12" display="https://murashun.fanbox.cc/" xr:uid="{50FC8D1B-97DC-4E60-A002-21267C80EF6A}"/>
    <hyperlink ref="C1" r:id="rId13" xr:uid="{5A15778B-DF35-40CE-8E84-9A0307F2CE31}"/>
  </hyperlinks>
  <pageMargins left="0.7" right="0.7" top="0.75" bottom="0.75" header="0.3" footer="0.3"/>
  <drawing r:id="rId1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9E63A-969A-4C1F-B3B2-329800277E0D}">
  <sheetPr codeName="Sheet4"/>
  <dimension ref="B2:D44"/>
  <sheetViews>
    <sheetView workbookViewId="0"/>
  </sheetViews>
  <sheetFormatPr defaultRowHeight="13.5"/>
  <cols>
    <col min="1" max="1" width="9" style="1"/>
    <col min="2" max="2" width="37.875" style="1" customWidth="1"/>
    <col min="3" max="3" width="46" style="1" customWidth="1"/>
    <col min="4" max="16384" width="9" style="1"/>
  </cols>
  <sheetData>
    <row r="2" spans="2:3">
      <c r="B2" s="1" t="s">
        <v>119</v>
      </c>
      <c r="C2" s="1" t="s">
        <v>118</v>
      </c>
    </row>
    <row r="4" spans="2:3">
      <c r="B4" s="1" t="s">
        <v>1</v>
      </c>
      <c r="C4" s="1" t="s">
        <v>117</v>
      </c>
    </row>
    <row r="5" spans="2:3">
      <c r="B5" s="1" t="s">
        <v>62</v>
      </c>
      <c r="C5" s="1" t="s">
        <v>116</v>
      </c>
    </row>
    <row r="6" spans="2:3">
      <c r="B6" s="1" t="s">
        <v>92</v>
      </c>
      <c r="C6" s="1" t="s">
        <v>115</v>
      </c>
    </row>
    <row r="7" spans="2:3">
      <c r="B7" s="1" t="s">
        <v>89</v>
      </c>
      <c r="C7" s="1" t="s">
        <v>114</v>
      </c>
    </row>
    <row r="8" spans="2:3">
      <c r="B8" s="1" t="s">
        <v>113</v>
      </c>
      <c r="C8" s="1" t="s">
        <v>112</v>
      </c>
    </row>
    <row r="9" spans="2:3">
      <c r="B9" s="1" t="s">
        <v>111</v>
      </c>
      <c r="C9" s="1" t="s">
        <v>110</v>
      </c>
    </row>
    <row r="10" spans="2:3">
      <c r="B10" s="1" t="s">
        <v>109</v>
      </c>
      <c r="C10" s="1" t="s">
        <v>108</v>
      </c>
    </row>
    <row r="11" spans="2:3">
      <c r="B11" s="1" t="s">
        <v>107</v>
      </c>
      <c r="C11" s="1" t="s">
        <v>106</v>
      </c>
    </row>
    <row r="12" spans="2:3">
      <c r="B12" s="1" t="s">
        <v>105</v>
      </c>
      <c r="C12" s="1" t="s">
        <v>104</v>
      </c>
    </row>
    <row r="13" spans="2:3">
      <c r="B13" s="1" t="s">
        <v>103</v>
      </c>
      <c r="C13" s="1" t="s">
        <v>102</v>
      </c>
    </row>
    <row r="14" spans="2:3">
      <c r="B14" s="1" t="s">
        <v>101</v>
      </c>
      <c r="C14" s="1" t="s">
        <v>100</v>
      </c>
    </row>
    <row r="15" spans="2:3">
      <c r="B15" s="1" t="s">
        <v>99</v>
      </c>
      <c r="C15" s="1" t="s">
        <v>98</v>
      </c>
    </row>
    <row r="16" spans="2:3">
      <c r="B16" s="1" t="s">
        <v>97</v>
      </c>
      <c r="C16" s="1" t="s">
        <v>96</v>
      </c>
    </row>
    <row r="17" spans="2:4">
      <c r="B17" s="1" t="s">
        <v>95</v>
      </c>
      <c r="C17" s="1" t="s">
        <v>94</v>
      </c>
    </row>
    <row r="19" spans="2:4">
      <c r="B19" s="1" t="s">
        <v>93</v>
      </c>
    </row>
    <row r="20" spans="2:4">
      <c r="B20" s="1" t="s">
        <v>65</v>
      </c>
      <c r="C20" s="1" t="s">
        <v>64</v>
      </c>
      <c r="D20" s="1" t="s">
        <v>63</v>
      </c>
    </row>
    <row r="21" spans="2:4">
      <c r="B21" s="1" t="s">
        <v>92</v>
      </c>
      <c r="C21" s="1" t="s">
        <v>91</v>
      </c>
      <c r="D21" s="1" t="s">
        <v>90</v>
      </c>
    </row>
    <row r="22" spans="2:4">
      <c r="B22" s="1" t="s">
        <v>89</v>
      </c>
      <c r="C22" s="1" t="s">
        <v>88</v>
      </c>
      <c r="D22" s="1" t="s">
        <v>87</v>
      </c>
    </row>
    <row r="23" spans="2:4">
      <c r="B23" s="1" t="s">
        <v>86</v>
      </c>
      <c r="C23" s="1" t="s">
        <v>85</v>
      </c>
      <c r="D23" s="1" t="s">
        <v>84</v>
      </c>
    </row>
    <row r="24" spans="2:4">
      <c r="B24" s="1" t="s">
        <v>83</v>
      </c>
      <c r="C24" s="1" t="s">
        <v>82</v>
      </c>
      <c r="D24" s="1" t="s">
        <v>81</v>
      </c>
    </row>
    <row r="25" spans="2:4">
      <c r="B25" s="1" t="s">
        <v>1</v>
      </c>
      <c r="C25" s="1" t="s">
        <v>80</v>
      </c>
      <c r="D25" s="1" t="s">
        <v>58</v>
      </c>
    </row>
    <row r="26" spans="2:4">
      <c r="B26" s="1" t="s">
        <v>79</v>
      </c>
      <c r="C26" s="1" t="s">
        <v>78</v>
      </c>
      <c r="D26" s="1" t="s">
        <v>58</v>
      </c>
    </row>
    <row r="27" spans="2:4">
      <c r="B27" s="1" t="s">
        <v>77</v>
      </c>
      <c r="C27" s="1" t="s">
        <v>76</v>
      </c>
      <c r="D27" s="1" t="s">
        <v>58</v>
      </c>
    </row>
    <row r="28" spans="2:4">
      <c r="B28" s="1" t="s">
        <v>75</v>
      </c>
      <c r="C28" s="1" t="s">
        <v>74</v>
      </c>
      <c r="D28" s="1" t="s">
        <v>73</v>
      </c>
    </row>
    <row r="29" spans="2:4">
      <c r="B29" s="1" t="s">
        <v>72</v>
      </c>
      <c r="C29" s="1" t="s">
        <v>71</v>
      </c>
      <c r="D29" s="1" t="s">
        <v>70</v>
      </c>
    </row>
    <row r="30" spans="2:4">
      <c r="B30" s="1" t="s">
        <v>69</v>
      </c>
      <c r="C30" s="1" t="s">
        <v>68</v>
      </c>
      <c r="D30" s="1" t="s">
        <v>67</v>
      </c>
    </row>
    <row r="33" spans="2:4">
      <c r="B33" s="1" t="s">
        <v>66</v>
      </c>
    </row>
    <row r="34" spans="2:4">
      <c r="B34" s="1" t="s">
        <v>65</v>
      </c>
      <c r="C34" s="1" t="s">
        <v>64</v>
      </c>
      <c r="D34" s="1" t="s">
        <v>63</v>
      </c>
    </row>
    <row r="35" spans="2:4">
      <c r="B35" s="1" t="s">
        <v>62</v>
      </c>
      <c r="C35" s="1" t="s">
        <v>61</v>
      </c>
      <c r="D35" s="1" t="s">
        <v>58</v>
      </c>
    </row>
    <row r="36" spans="2:4">
      <c r="B36" s="1" t="s">
        <v>60</v>
      </c>
      <c r="C36" s="1" t="s">
        <v>59</v>
      </c>
      <c r="D36" s="1" t="s">
        <v>58</v>
      </c>
    </row>
    <row r="37" spans="2:4">
      <c r="B37" s="1" t="s">
        <v>57</v>
      </c>
      <c r="C37" s="1" t="s">
        <v>56</v>
      </c>
      <c r="D37" s="1" t="s">
        <v>55</v>
      </c>
    </row>
    <row r="38" spans="2:4">
      <c r="B38" s="1" t="s">
        <v>54</v>
      </c>
      <c r="C38" s="1" t="s">
        <v>53</v>
      </c>
      <c r="D38" s="1" t="s">
        <v>52</v>
      </c>
    </row>
    <row r="39" spans="2:4">
      <c r="B39" s="1" t="s">
        <v>51</v>
      </c>
      <c r="C39" s="1" t="s">
        <v>50</v>
      </c>
      <c r="D39" s="1" t="s">
        <v>49</v>
      </c>
    </row>
    <row r="40" spans="2:4">
      <c r="B40" s="1" t="s">
        <v>48</v>
      </c>
      <c r="C40" s="1" t="s">
        <v>47</v>
      </c>
      <c r="D40" s="1" t="s">
        <v>46</v>
      </c>
    </row>
    <row r="41" spans="2:4">
      <c r="B41" s="1" t="s">
        <v>45</v>
      </c>
      <c r="C41" s="1" t="s">
        <v>44</v>
      </c>
      <c r="D41" s="1" t="s">
        <v>43</v>
      </c>
    </row>
    <row r="42" spans="2:4">
      <c r="B42" s="1" t="s">
        <v>42</v>
      </c>
      <c r="C42" s="1" t="s">
        <v>41</v>
      </c>
      <c r="D42" s="1" t="s">
        <v>40</v>
      </c>
    </row>
    <row r="44" spans="2:4">
      <c r="B44" s="1" t="s">
        <v>39</v>
      </c>
      <c r="C44" s="1" t="s">
        <v>38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97B3C5-51DD-422A-A549-7BC8F0AB897D}">
  <sheetPr codeName="Sheet5"/>
  <dimension ref="A1:C101"/>
  <sheetViews>
    <sheetView workbookViewId="0">
      <selection activeCell="D87" sqref="D87"/>
    </sheetView>
  </sheetViews>
  <sheetFormatPr defaultRowHeight="13.5"/>
  <cols>
    <col min="1" max="1" width="28" style="1" customWidth="1"/>
    <col min="2" max="2" width="25.875" style="1" customWidth="1"/>
    <col min="3" max="3" width="9" style="1"/>
    <col min="4" max="4" width="32" style="1" customWidth="1"/>
    <col min="5" max="16384" width="9" style="1"/>
  </cols>
  <sheetData>
    <row r="1" spans="1:1">
      <c r="A1" s="1" t="s">
        <v>220</v>
      </c>
    </row>
    <row r="3" spans="1:1">
      <c r="A3" s="1" t="s">
        <v>219</v>
      </c>
    </row>
    <row r="6" spans="1:1">
      <c r="A6" s="1" t="s">
        <v>218</v>
      </c>
    </row>
    <row r="8" spans="1:1">
      <c r="A8" s="1" t="s">
        <v>217</v>
      </c>
    </row>
    <row r="10" spans="1:1">
      <c r="A10" s="1" t="s">
        <v>216</v>
      </c>
    </row>
    <row r="12" spans="1:1">
      <c r="A12" s="1" t="s">
        <v>215</v>
      </c>
    </row>
    <row r="14" spans="1:1">
      <c r="A14" s="1" t="s">
        <v>214</v>
      </c>
    </row>
    <row r="16" spans="1:1">
      <c r="A16" s="1" t="s">
        <v>213</v>
      </c>
    </row>
    <row r="18" spans="1:3">
      <c r="A18" s="1" t="s">
        <v>212</v>
      </c>
    </row>
    <row r="20" spans="1:3">
      <c r="A20" s="1" t="s">
        <v>133</v>
      </c>
      <c r="B20" s="1" t="s">
        <v>132</v>
      </c>
      <c r="C20" s="1" t="s">
        <v>131</v>
      </c>
    </row>
    <row r="21" spans="1:3">
      <c r="A21" s="1" t="s">
        <v>0</v>
      </c>
      <c r="B21" s="1" t="s">
        <v>211</v>
      </c>
      <c r="C21" s="1" t="s">
        <v>210</v>
      </c>
    </row>
    <row r="22" spans="1:3">
      <c r="A22" s="1" t="s">
        <v>209</v>
      </c>
      <c r="B22" s="1" t="s">
        <v>209</v>
      </c>
      <c r="C22" s="1" t="s">
        <v>208</v>
      </c>
    </row>
    <row r="23" spans="1:3">
      <c r="A23" s="1" t="s">
        <v>207</v>
      </c>
      <c r="B23" s="1" t="s">
        <v>207</v>
      </c>
      <c r="C23" s="1" t="s">
        <v>206</v>
      </c>
    </row>
    <row r="25" spans="1:3">
      <c r="A25" s="1" t="s">
        <v>205</v>
      </c>
    </row>
    <row r="26" spans="1:3">
      <c r="A26" s="1" t="s">
        <v>204</v>
      </c>
    </row>
    <row r="28" spans="1:3">
      <c r="A28" s="1" t="s">
        <v>133</v>
      </c>
      <c r="B28" s="1" t="s">
        <v>132</v>
      </c>
      <c r="C28" s="1" t="s">
        <v>131</v>
      </c>
    </row>
    <row r="29" spans="1:3">
      <c r="A29" s="1" t="s">
        <v>203</v>
      </c>
      <c r="B29" s="1" t="s">
        <v>202</v>
      </c>
      <c r="C29" s="1" t="s">
        <v>201</v>
      </c>
    </row>
    <row r="30" spans="1:3">
      <c r="A30" s="1" t="s">
        <v>200</v>
      </c>
      <c r="B30" s="1" t="s">
        <v>199</v>
      </c>
    </row>
    <row r="31" spans="1:3">
      <c r="A31" s="1" t="s">
        <v>198</v>
      </c>
      <c r="B31" s="1" t="s">
        <v>197</v>
      </c>
    </row>
    <row r="33" spans="1:3">
      <c r="A33" s="1" t="s">
        <v>196</v>
      </c>
    </row>
    <row r="35" spans="1:3">
      <c r="A35" s="1" t="s">
        <v>195</v>
      </c>
    </row>
    <row r="36" spans="1:3">
      <c r="A36" s="1" t="s">
        <v>194</v>
      </c>
    </row>
    <row r="38" spans="1:3">
      <c r="A38" s="1" t="s">
        <v>92</v>
      </c>
    </row>
    <row r="39" spans="1:3">
      <c r="A39" s="1" t="s">
        <v>193</v>
      </c>
    </row>
    <row r="41" spans="1:3">
      <c r="A41" s="1" t="s">
        <v>133</v>
      </c>
      <c r="B41" s="1" t="s">
        <v>132</v>
      </c>
      <c r="C41" s="1" t="s">
        <v>131</v>
      </c>
    </row>
    <row r="42" spans="1:3">
      <c r="A42" s="1" t="s">
        <v>192</v>
      </c>
      <c r="B42" s="1" t="s">
        <v>191</v>
      </c>
      <c r="C42" s="1" t="s">
        <v>190</v>
      </c>
    </row>
    <row r="43" spans="1:3">
      <c r="A43" s="1" t="s">
        <v>189</v>
      </c>
      <c r="B43" s="1" t="s">
        <v>188</v>
      </c>
      <c r="C43" s="1" t="s">
        <v>187</v>
      </c>
    </row>
    <row r="45" spans="1:3">
      <c r="A45" s="1" t="s">
        <v>89</v>
      </c>
    </row>
    <row r="46" spans="1:3">
      <c r="A46" s="1" t="s">
        <v>186</v>
      </c>
    </row>
    <row r="48" spans="1:3">
      <c r="A48" s="1" t="s">
        <v>133</v>
      </c>
      <c r="B48" s="1" t="s">
        <v>132</v>
      </c>
      <c r="C48" s="1" t="s">
        <v>131</v>
      </c>
    </row>
    <row r="49" spans="1:3">
      <c r="A49" s="1" t="s">
        <v>185</v>
      </c>
      <c r="B49" s="1" t="s">
        <v>184</v>
      </c>
      <c r="C49" s="1" t="s">
        <v>183</v>
      </c>
    </row>
    <row r="50" spans="1:3">
      <c r="A50" s="1" t="s">
        <v>182</v>
      </c>
      <c r="B50" s="1" t="s">
        <v>181</v>
      </c>
    </row>
    <row r="51" spans="1:3">
      <c r="A51" s="1" t="s">
        <v>180</v>
      </c>
      <c r="B51" s="1" t="s">
        <v>179</v>
      </c>
    </row>
    <row r="52" spans="1:3">
      <c r="A52" s="1" t="s">
        <v>178</v>
      </c>
      <c r="B52" s="1" t="s">
        <v>177</v>
      </c>
    </row>
    <row r="54" spans="1:3">
      <c r="A54" s="1" t="s">
        <v>176</v>
      </c>
    </row>
    <row r="55" spans="1:3">
      <c r="A55" s="1" t="s">
        <v>175</v>
      </c>
    </row>
    <row r="57" spans="1:3">
      <c r="A57" s="1" t="s">
        <v>174</v>
      </c>
    </row>
    <row r="58" spans="1:3">
      <c r="A58" s="1" t="s">
        <v>173</v>
      </c>
    </row>
    <row r="60" spans="1:3">
      <c r="A60" s="1" t="s">
        <v>133</v>
      </c>
      <c r="B60" s="1" t="s">
        <v>132</v>
      </c>
      <c r="C60" s="1" t="s">
        <v>131</v>
      </c>
    </row>
    <row r="61" spans="1:3">
      <c r="A61" s="1" t="s">
        <v>172</v>
      </c>
      <c r="B61" s="1" t="s">
        <v>155</v>
      </c>
      <c r="C61" s="1" t="s">
        <v>171</v>
      </c>
    </row>
    <row r="62" spans="1:3">
      <c r="A62" s="1" t="s">
        <v>170</v>
      </c>
      <c r="B62" s="1" t="s">
        <v>169</v>
      </c>
      <c r="C62" s="1" t="s">
        <v>168</v>
      </c>
    </row>
    <row r="63" spans="1:3">
      <c r="A63" s="1" t="s">
        <v>167</v>
      </c>
      <c r="B63" s="1" t="s">
        <v>166</v>
      </c>
    </row>
    <row r="64" spans="1:3">
      <c r="A64" s="1" t="s">
        <v>165</v>
      </c>
      <c r="B64" s="1" t="s">
        <v>164</v>
      </c>
    </row>
    <row r="65" spans="1:3">
      <c r="A65" s="1" t="s">
        <v>163</v>
      </c>
      <c r="B65" s="1" t="s">
        <v>162</v>
      </c>
    </row>
    <row r="66" spans="1:3">
      <c r="A66" s="1" t="s">
        <v>161</v>
      </c>
      <c r="B66" s="1" t="s">
        <v>160</v>
      </c>
    </row>
    <row r="68" spans="1:3">
      <c r="A68" s="1" t="s">
        <v>159</v>
      </c>
    </row>
    <row r="69" spans="1:3">
      <c r="A69" s="1" t="s">
        <v>158</v>
      </c>
    </row>
    <row r="71" spans="1:3">
      <c r="A71" s="1" t="s">
        <v>133</v>
      </c>
      <c r="B71" s="1" t="s">
        <v>132</v>
      </c>
      <c r="C71" s="1" t="s">
        <v>131</v>
      </c>
    </row>
    <row r="72" spans="1:3">
      <c r="A72" s="1" t="s">
        <v>157</v>
      </c>
      <c r="B72" s="1" t="s">
        <v>156</v>
      </c>
      <c r="C72" s="1" t="s">
        <v>155</v>
      </c>
    </row>
    <row r="73" spans="1:3">
      <c r="A73" s="1" t="s">
        <v>154</v>
      </c>
      <c r="B73" s="1" t="s">
        <v>153</v>
      </c>
      <c r="C73" s="1" t="s">
        <v>152</v>
      </c>
    </row>
    <row r="74" spans="1:3">
      <c r="A74" s="1" t="s">
        <v>151</v>
      </c>
      <c r="B74" s="1" t="s">
        <v>150</v>
      </c>
      <c r="C74" s="1" t="s">
        <v>149</v>
      </c>
    </row>
    <row r="76" spans="1:3">
      <c r="A76" s="1" t="s">
        <v>148</v>
      </c>
    </row>
    <row r="77" spans="1:3">
      <c r="A77" s="1" t="s">
        <v>147</v>
      </c>
    </row>
    <row r="79" spans="1:3">
      <c r="A79" s="1" t="s">
        <v>146</v>
      </c>
    </row>
    <row r="80" spans="1:3">
      <c r="A80" s="1" t="s">
        <v>145</v>
      </c>
    </row>
    <row r="82" spans="1:3">
      <c r="A82" s="1" t="s">
        <v>133</v>
      </c>
      <c r="B82" s="1" t="s">
        <v>132</v>
      </c>
      <c r="C82" s="1" t="s">
        <v>131</v>
      </c>
    </row>
    <row r="83" spans="1:3">
      <c r="A83" s="1" t="s">
        <v>144</v>
      </c>
      <c r="B83" s="1" t="s">
        <v>143</v>
      </c>
      <c r="C83" s="1" t="s">
        <v>142</v>
      </c>
    </row>
    <row r="84" spans="1:3">
      <c r="A84" s="1" t="s">
        <v>141</v>
      </c>
      <c r="B84" s="1" t="s">
        <v>140</v>
      </c>
      <c r="C84" s="1" t="s">
        <v>139</v>
      </c>
    </row>
    <row r="85" spans="1:3">
      <c r="A85" s="1" t="s">
        <v>138</v>
      </c>
      <c r="B85" s="1" t="s">
        <v>137</v>
      </c>
      <c r="C85" s="1" t="s">
        <v>136</v>
      </c>
    </row>
    <row r="87" spans="1:3">
      <c r="A87" s="1" t="s">
        <v>135</v>
      </c>
    </row>
    <row r="88" spans="1:3">
      <c r="A88" s="1" t="s">
        <v>134</v>
      </c>
    </row>
    <row r="90" spans="1:3">
      <c r="A90" s="1" t="s">
        <v>133</v>
      </c>
      <c r="B90" s="1" t="s">
        <v>132</v>
      </c>
      <c r="C90" s="1" t="s">
        <v>131</v>
      </c>
    </row>
    <row r="91" spans="1:3">
      <c r="A91" s="1" t="s">
        <v>130</v>
      </c>
      <c r="B91" s="1" t="s">
        <v>129</v>
      </c>
    </row>
    <row r="92" spans="1:3">
      <c r="A92" s="1" t="s">
        <v>128</v>
      </c>
      <c r="B92" s="1" t="s">
        <v>127</v>
      </c>
    </row>
    <row r="93" spans="1:3">
      <c r="A93" s="1" t="s">
        <v>126</v>
      </c>
      <c r="B93" s="1" t="s">
        <v>125</v>
      </c>
    </row>
    <row r="95" spans="1:3">
      <c r="A95" s="1" t="s">
        <v>124</v>
      </c>
    </row>
    <row r="97" spans="1:1">
      <c r="A97" s="1" t="s">
        <v>123</v>
      </c>
    </row>
    <row r="98" spans="1:1">
      <c r="A98" s="1" t="s">
        <v>122</v>
      </c>
    </row>
    <row r="100" spans="1:1">
      <c r="A100" s="1" t="s">
        <v>121</v>
      </c>
    </row>
    <row r="101" spans="1:1">
      <c r="A101" s="1" t="s">
        <v>120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正規表現テスト</vt:lpstr>
      <vt:lpstr>正規表現SubMatchテスト</vt:lpstr>
      <vt:lpstr>例</vt:lpstr>
      <vt:lpstr>1</vt:lpstr>
      <vt:lpstr>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 </cp:lastModifiedBy>
  <dcterms:created xsi:type="dcterms:W3CDTF">2017-02-01T00:02:31Z</dcterms:created>
  <dcterms:modified xsi:type="dcterms:W3CDTF">2020-09-18T16:45:27Z</dcterms:modified>
</cp:coreProperties>
</file>